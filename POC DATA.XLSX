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kumar.sankar\AppData\Local\Microsoft\Windows\INetCache\Content.Outlook\7PXVNI0K\"/>
    </mc:Choice>
  </mc:AlternateContent>
  <xr:revisionPtr revIDLastSave="0" documentId="13_ncr:1_{7E638BFB-85D9-46F2-9A4E-55F98A886A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B DATA FINAL" sheetId="5" r:id="rId1"/>
    <sheet name="B DATA" sheetId="6" r:id="rId2"/>
  </sheets>
  <definedNames>
    <definedName name="_xlnm._FilterDatabase" localSheetId="1" hidden="1">'B DATA'!$A$1:$O$14</definedName>
    <definedName name="_xlnm._FilterDatabase" localSheetId="0" hidden="1">'MB DATA FINAL'!$A$1:$Q$740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0" i="5" l="1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<sst xmlns="http://schemas.openxmlformats.org/spreadsheetml/2006/main" count="5375" uniqueCount="718">
  <si>
    <t>KG</t>
  </si>
  <si>
    <t>BRL</t>
  </si>
  <si>
    <t>MT</t>
  </si>
  <si>
    <t>Company Code</t>
  </si>
  <si>
    <t>Comp Code Desc</t>
  </si>
  <si>
    <t>PO Number</t>
  </si>
  <si>
    <t>PO Creation Date</t>
  </si>
  <si>
    <t>Invoice Number</t>
  </si>
  <si>
    <t>Invoice Posting Date</t>
  </si>
  <si>
    <t>Vendor Code</t>
  </si>
  <si>
    <t>Vendor Name</t>
  </si>
  <si>
    <t>Material</t>
  </si>
  <si>
    <t>Material Description</t>
  </si>
  <si>
    <t>Invoice Qty</t>
  </si>
  <si>
    <t>Order UoM</t>
  </si>
  <si>
    <t>Pur Invoice Net Value</t>
  </si>
  <si>
    <t>Currency</t>
  </si>
  <si>
    <t>Invoice Net Price</t>
  </si>
  <si>
    <t>Invoice Value in USD</t>
  </si>
  <si>
    <t>Invoice Value- Net Price in USD</t>
  </si>
  <si>
    <t>Apple I Phone</t>
  </si>
  <si>
    <t>Apple I Pad</t>
  </si>
  <si>
    <t>Apple Ear Pod</t>
  </si>
  <si>
    <t>Apple Home</t>
  </si>
  <si>
    <t>Apple Lighting Cable</t>
  </si>
  <si>
    <t>Apple MacBook</t>
  </si>
  <si>
    <t>Apple Macintosh</t>
  </si>
  <si>
    <t>Apple Watch 6 Series</t>
  </si>
  <si>
    <t>Apple Watch 7 Series</t>
  </si>
  <si>
    <t>CC10</t>
  </si>
  <si>
    <t>ABC Pvt Ltd</t>
  </si>
  <si>
    <t>RDES GRAO</t>
  </si>
  <si>
    <t>CAPEC - C</t>
  </si>
  <si>
    <t>RDE MINAS</t>
  </si>
  <si>
    <t>FAEL PEIX</t>
  </si>
  <si>
    <t>RNA COMER</t>
  </si>
  <si>
    <t xml:space="preserve"> 230 COME</t>
  </si>
  <si>
    <t xml:space="preserve"> DE J. L.</t>
  </si>
  <si>
    <t>VA ERA CO</t>
  </si>
  <si>
    <t>DOS S ULI</t>
  </si>
  <si>
    <t xml:space="preserve"> IRMÃOS C</t>
  </si>
  <si>
    <t>LDEMIR DE</t>
  </si>
  <si>
    <t>SE AILTON</t>
  </si>
  <si>
    <t>RGIO LUCI</t>
  </si>
  <si>
    <t>CAS PUTUM</t>
  </si>
  <si>
    <t>DRE RAYMU</t>
  </si>
  <si>
    <t>RLOS HENR</t>
  </si>
  <si>
    <t>ROPECUARI</t>
  </si>
  <si>
    <t>R DA SILV</t>
  </si>
  <si>
    <t>FEEIRA NO</t>
  </si>
  <si>
    <t>B COUTINH</t>
  </si>
  <si>
    <t>RCANTIL C</t>
  </si>
  <si>
    <t>RICOLA CO</t>
  </si>
  <si>
    <t>ALBERTO A</t>
  </si>
  <si>
    <t>ILHERME M</t>
  </si>
  <si>
    <t>onildo Mi</t>
  </si>
  <si>
    <t>SE LINCOL</t>
  </si>
  <si>
    <t>OPERATIVA</t>
  </si>
  <si>
    <t>CINEY PRA</t>
  </si>
  <si>
    <t>MAOS SOUS</t>
  </si>
  <si>
    <t>TAS DE MI</t>
  </si>
  <si>
    <t xml:space="preserve">FERREIRA </t>
  </si>
  <si>
    <t>ISTIANE D</t>
  </si>
  <si>
    <t>FE CANDEI</t>
  </si>
  <si>
    <t>MAZENS GE</t>
  </si>
  <si>
    <t>ULO VIEIR</t>
  </si>
  <si>
    <t>IZ ANTONI</t>
  </si>
  <si>
    <t>OP DOS CA</t>
  </si>
  <si>
    <t>CARDO HEN</t>
  </si>
  <si>
    <t>nysavio S</t>
  </si>
  <si>
    <t>AO MAURIC</t>
  </si>
  <si>
    <t>AN FRANCO</t>
  </si>
  <si>
    <t>MERCIAL S</t>
  </si>
  <si>
    <t>ILHERME L</t>
  </si>
  <si>
    <t>SE CARLOS</t>
  </si>
  <si>
    <t>ACIR BICH</t>
  </si>
  <si>
    <t>M. MAIA E</t>
  </si>
  <si>
    <t>OGRESSO C</t>
  </si>
  <si>
    <t xml:space="preserve"> MAIA EIR</t>
  </si>
  <si>
    <t>ULO SERGI</t>
  </si>
  <si>
    <t>RIA LUIZA</t>
  </si>
  <si>
    <t>RY CHRIST</t>
  </si>
  <si>
    <t xml:space="preserve">SME CAFE </t>
  </si>
  <si>
    <t>B DE OLIV</t>
  </si>
  <si>
    <t>LIO CESAR</t>
  </si>
  <si>
    <t>SE GIACCH</t>
  </si>
  <si>
    <t>cardo Fer</t>
  </si>
  <si>
    <t>RIA TEREZ</t>
  </si>
  <si>
    <t>LMIR GOTA</t>
  </si>
  <si>
    <t>EIR FREIR</t>
  </si>
  <si>
    <t>BLO SANTA</t>
  </si>
  <si>
    <t xml:space="preserve">LDO LIMA </t>
  </si>
  <si>
    <t>URO DE SO</t>
  </si>
  <si>
    <t>EBER DIAS</t>
  </si>
  <si>
    <t xml:space="preserve">AO PAULO </t>
  </si>
  <si>
    <t>URET COME</t>
  </si>
  <si>
    <t>MERCIAL D</t>
  </si>
  <si>
    <t>LSON ANTE</t>
  </si>
  <si>
    <t>ACIR DE V</t>
  </si>
  <si>
    <t>DA TEREZI</t>
  </si>
  <si>
    <t>IOMAR ROD</t>
  </si>
  <si>
    <t>TONIO WES</t>
  </si>
  <si>
    <t xml:space="preserve">GNOVANDA </t>
  </si>
  <si>
    <t>OP. DOS C</t>
  </si>
  <si>
    <t>LTER DONI</t>
  </si>
  <si>
    <t>CAU COMER</t>
  </si>
  <si>
    <t>IZ GERALD</t>
  </si>
  <si>
    <t>ENILSON G</t>
  </si>
  <si>
    <t>RCIA HELE</t>
  </si>
  <si>
    <t>LOR COMER</t>
  </si>
  <si>
    <t xml:space="preserve">SAR LUIS </t>
  </si>
  <si>
    <t>SE ANTONI</t>
  </si>
  <si>
    <t>IZ FERNAN</t>
  </si>
  <si>
    <t>ndomar Bo</t>
  </si>
  <si>
    <t>MOND CHEM</t>
  </si>
  <si>
    <t>EAL TERCE</t>
  </si>
  <si>
    <t>RG COMERC</t>
  </si>
  <si>
    <t>ANCISCO A</t>
  </si>
  <si>
    <t>LMAR ELIA</t>
  </si>
  <si>
    <t>TONIO MAR</t>
  </si>
  <si>
    <t>ENDCOFFEE</t>
  </si>
  <si>
    <t>AKAU ADUB</t>
  </si>
  <si>
    <t>TONIO LOS</t>
  </si>
  <si>
    <t>rte Comer</t>
  </si>
  <si>
    <t>OP AGRARI</t>
  </si>
  <si>
    <t>TONIO PER</t>
  </si>
  <si>
    <t xml:space="preserve">DRO LUIZ </t>
  </si>
  <si>
    <t>OFRE MARC</t>
  </si>
  <si>
    <t>I GRAO CA</t>
  </si>
  <si>
    <t>LDER APAR</t>
  </si>
  <si>
    <t>AUDECI FE</t>
  </si>
  <si>
    <t>STOR SART</t>
  </si>
  <si>
    <t>OVANE GOM</t>
  </si>
  <si>
    <t>ULO ROBER</t>
  </si>
  <si>
    <t>RCIO LUIZ</t>
  </si>
  <si>
    <t>FEEIRA BA</t>
  </si>
  <si>
    <t xml:space="preserve">LIO LUIS </t>
  </si>
  <si>
    <t>RRA FERTI</t>
  </si>
  <si>
    <t>acir Bell</t>
  </si>
  <si>
    <t>DRO VICEN</t>
  </si>
  <si>
    <t>AO BALBIN</t>
  </si>
  <si>
    <t>NATO LUIZ</t>
  </si>
  <si>
    <t>ão Brasil</t>
  </si>
  <si>
    <t>ises Rodr</t>
  </si>
  <si>
    <t>ANCA CAFE</t>
  </si>
  <si>
    <t>OMA COFFE</t>
  </si>
  <si>
    <t xml:space="preserve">ÃO PAULO </t>
  </si>
  <si>
    <t>IVAR ROVA</t>
  </si>
  <si>
    <t>IGRAOS AG</t>
  </si>
  <si>
    <t>NIKER PER</t>
  </si>
  <si>
    <t>DER COMPR</t>
  </si>
  <si>
    <t>RNANDO GA</t>
  </si>
  <si>
    <t>NDERLEI A</t>
  </si>
  <si>
    <t>DRO ANTON</t>
  </si>
  <si>
    <t>INER SILV</t>
  </si>
  <si>
    <t>lber Silv</t>
  </si>
  <si>
    <t>ILHERME N</t>
  </si>
  <si>
    <t>SE ALEXAN</t>
  </si>
  <si>
    <t>GELO MARC</t>
  </si>
  <si>
    <t>NEY VILEL</t>
  </si>
  <si>
    <t>RSANTOS C</t>
  </si>
  <si>
    <t xml:space="preserve">SE DIMAS </t>
  </si>
  <si>
    <t>BIANO CON</t>
  </si>
  <si>
    <t>RNANDO BA</t>
  </si>
  <si>
    <t>IS NIVALD</t>
  </si>
  <si>
    <t>NIA MARIA</t>
  </si>
  <si>
    <t>INALDO LO</t>
  </si>
  <si>
    <t>ULO CESAR</t>
  </si>
  <si>
    <t>SE UESLEM</t>
  </si>
  <si>
    <t>OVANE DON</t>
  </si>
  <si>
    <t>rlos Robe</t>
  </si>
  <si>
    <t>TONIO ILD</t>
  </si>
  <si>
    <t>FAEL DINI</t>
  </si>
  <si>
    <t>JAIME STE</t>
  </si>
  <si>
    <t>RIA APARE</t>
  </si>
  <si>
    <t>FEE COMER</t>
  </si>
  <si>
    <t>LIPE BENJ</t>
  </si>
  <si>
    <t>SE LUIZ C</t>
  </si>
  <si>
    <t>EMIR CONT</t>
  </si>
  <si>
    <t>ROLDO ADA</t>
  </si>
  <si>
    <t>TONIO APA</t>
  </si>
  <si>
    <t>GUEL CIRI</t>
  </si>
  <si>
    <t xml:space="preserve">REALISTA </t>
  </si>
  <si>
    <t>REZINHA Z</t>
  </si>
  <si>
    <t>RRI ELIAS</t>
  </si>
  <si>
    <t>NANCIAL C</t>
  </si>
  <si>
    <t>gelo Fran</t>
  </si>
  <si>
    <t>briela Es</t>
  </si>
  <si>
    <t>LTON GARC</t>
  </si>
  <si>
    <t>UNO LEONA</t>
  </si>
  <si>
    <t>EX REIS S</t>
  </si>
  <si>
    <t>IO DEPIER</t>
  </si>
  <si>
    <t>AL COMERC</t>
  </si>
  <si>
    <t>STAVO MAR</t>
  </si>
  <si>
    <t>AZ DONIZE</t>
  </si>
  <si>
    <t>TONIO EDU</t>
  </si>
  <si>
    <t>RLOS SERG</t>
  </si>
  <si>
    <t>RAFINI CO</t>
  </si>
  <si>
    <t>AUDIO HEN</t>
  </si>
  <si>
    <t>FEEIRA SI</t>
  </si>
  <si>
    <t>LTON MESS</t>
  </si>
  <si>
    <t xml:space="preserve">OP AGRIC </t>
  </si>
  <si>
    <t>RIA EVAND</t>
  </si>
  <si>
    <t>DERSON PI</t>
  </si>
  <si>
    <t>OWINS PLA</t>
  </si>
  <si>
    <t>NILO ANDR</t>
  </si>
  <si>
    <t>LTAIR FEL</t>
  </si>
  <si>
    <t>PEDITO BA</t>
  </si>
  <si>
    <t>TUFF GAUD</t>
  </si>
  <si>
    <t>ROBAHIA A</t>
  </si>
  <si>
    <t>MUEL CLEB</t>
  </si>
  <si>
    <t>AO BATIST</t>
  </si>
  <si>
    <t>ONE CORSI</t>
  </si>
  <si>
    <t>BIANO ALV</t>
  </si>
  <si>
    <t>MAIL JOSÉ</t>
  </si>
  <si>
    <t xml:space="preserve">&amp; M CAFE </t>
  </si>
  <si>
    <t>ROFORTE E</t>
  </si>
  <si>
    <t>OVANE STE</t>
  </si>
  <si>
    <t>UARDO ROC</t>
  </si>
  <si>
    <t>CI LOUREN</t>
  </si>
  <si>
    <t>RIO ANTON</t>
  </si>
  <si>
    <t>LTER DE O</t>
  </si>
  <si>
    <t>CIANO VOL</t>
  </si>
  <si>
    <t>EBER DE S</t>
  </si>
  <si>
    <t>RIA DENIS</t>
  </si>
  <si>
    <t>IZ TONIN</t>
  </si>
  <si>
    <t>RCOS KIYO</t>
  </si>
  <si>
    <t>ANKS DANY</t>
  </si>
  <si>
    <t>RCELLO CO</t>
  </si>
  <si>
    <t>CCAFE COM</t>
  </si>
  <si>
    <t>RILO ANDR</t>
  </si>
  <si>
    <t>AIAS FERR</t>
  </si>
  <si>
    <t>NIEL PIRE</t>
  </si>
  <si>
    <t>OP DE PEQ</t>
  </si>
  <si>
    <t>ULO VICTO</t>
  </si>
  <si>
    <t>SE ROBERT</t>
  </si>
  <si>
    <t>NERITO PA</t>
  </si>
  <si>
    <t xml:space="preserve">MISSARIA </t>
  </si>
  <si>
    <t>LSON GOME</t>
  </si>
  <si>
    <t>ILSON LUZ</t>
  </si>
  <si>
    <t>AO TEIXEI</t>
  </si>
  <si>
    <t>AGO BORTO</t>
  </si>
  <si>
    <t>TONIO RIB</t>
  </si>
  <si>
    <t>BIO BUENO</t>
  </si>
  <si>
    <t>IZ CLAUDI</t>
  </si>
  <si>
    <t>RCELO SEN</t>
  </si>
  <si>
    <t>NCALVES &amp;</t>
  </si>
  <si>
    <t>ASIL CAFE</t>
  </si>
  <si>
    <t>BRICIA FE</t>
  </si>
  <si>
    <t>ELIA CELI</t>
  </si>
  <si>
    <t>LIANE CLA</t>
  </si>
  <si>
    <t>TONIO VAL</t>
  </si>
  <si>
    <t>AAC SILVA</t>
  </si>
  <si>
    <t>drigo Bri</t>
  </si>
  <si>
    <t>SANGELA M</t>
  </si>
  <si>
    <t>AQUIM PIN</t>
  </si>
  <si>
    <t xml:space="preserve">iena AGR </t>
  </si>
  <si>
    <t xml:space="preserve">BIOLA AP </t>
  </si>
  <si>
    <t>AO ANTONI</t>
  </si>
  <si>
    <t>VINO MACH</t>
  </si>
  <si>
    <t>O JOSE AR</t>
  </si>
  <si>
    <t>NIZETE AP</t>
  </si>
  <si>
    <t>LO AUGUST</t>
  </si>
  <si>
    <t>CY APAREC</t>
  </si>
  <si>
    <t>e M COFFE</t>
  </si>
  <si>
    <t>TONIO SIL</t>
  </si>
  <si>
    <t>LSON MORO</t>
  </si>
  <si>
    <t>A PAULA B</t>
  </si>
  <si>
    <t>DRO VALDE</t>
  </si>
  <si>
    <t xml:space="preserve">LLIAN DA </t>
  </si>
  <si>
    <t>LCE APARE</t>
  </si>
  <si>
    <t>OVANI APA</t>
  </si>
  <si>
    <t>RCOS ANTO</t>
  </si>
  <si>
    <t>ANCIKEILL</t>
  </si>
  <si>
    <t>M COMERCI</t>
  </si>
  <si>
    <t>NALDO MAR</t>
  </si>
  <si>
    <t>fe Bela M</t>
  </si>
  <si>
    <t>ANCISCO D</t>
  </si>
  <si>
    <t>OPERLAM -</t>
  </si>
  <si>
    <t>THAN DE C</t>
  </si>
  <si>
    <t>SENEIDE F</t>
  </si>
  <si>
    <t>LO HORIZO</t>
  </si>
  <si>
    <t>DRIGO ZUM</t>
  </si>
  <si>
    <t>MILSON DE</t>
  </si>
  <si>
    <t>aldino To</t>
  </si>
  <si>
    <t>LDERSON T</t>
  </si>
  <si>
    <t>OFRE RIBE</t>
  </si>
  <si>
    <t>UINALDO R</t>
  </si>
  <si>
    <t>AVO CAETA</t>
  </si>
  <si>
    <t>AO HENRIQ</t>
  </si>
  <si>
    <t>NIA PASSO</t>
  </si>
  <si>
    <t>NISE SIQU</t>
  </si>
  <si>
    <t>TONIO LUC</t>
  </si>
  <si>
    <t>IRO MARTI</t>
  </si>
  <si>
    <t>RCEDES FE</t>
  </si>
  <si>
    <t>AH AGROIN</t>
  </si>
  <si>
    <t>NIA APARE</t>
  </si>
  <si>
    <t>ONISIO FL</t>
  </si>
  <si>
    <t>VALDO AND</t>
  </si>
  <si>
    <t>RCIO MATO</t>
  </si>
  <si>
    <t>ANDAO FIL</t>
  </si>
  <si>
    <t xml:space="preserve"> ANNONI E</t>
  </si>
  <si>
    <t>LTER CARM</t>
  </si>
  <si>
    <t>OP. AGROP</t>
  </si>
  <si>
    <t>DUSTRIA B</t>
  </si>
  <si>
    <t>CARDO GOU</t>
  </si>
  <si>
    <t xml:space="preserve">N COFFEE </t>
  </si>
  <si>
    <t>ULIANO DA</t>
  </si>
  <si>
    <t>IAGO VILE</t>
  </si>
  <si>
    <t>ANKLIN RO</t>
  </si>
  <si>
    <t>OTHIDES A</t>
  </si>
  <si>
    <t>LIPPE NER</t>
  </si>
  <si>
    <t>FE REMANE</t>
  </si>
  <si>
    <t xml:space="preserve"> FRUTICUL</t>
  </si>
  <si>
    <t>ANCAFE CO</t>
  </si>
  <si>
    <t>COLI AGRO</t>
  </si>
  <si>
    <t>NATO ERNE</t>
  </si>
  <si>
    <t>BIO EDUAR</t>
  </si>
  <si>
    <t>MUEL LUIZ</t>
  </si>
  <si>
    <t>RLOS VIAN</t>
  </si>
  <si>
    <t>AVIO WEST</t>
  </si>
  <si>
    <t>48594</t>
  </si>
  <si>
    <t>20112</t>
  </si>
  <si>
    <t>34235</t>
  </si>
  <si>
    <t>20888</t>
  </si>
  <si>
    <t>38087</t>
  </si>
  <si>
    <t>51535</t>
  </si>
  <si>
    <t>48063</t>
  </si>
  <si>
    <t>20818</t>
  </si>
  <si>
    <t>40367</t>
  </si>
  <si>
    <t>43729</t>
  </si>
  <si>
    <t>21256</t>
  </si>
  <si>
    <t>52058</t>
  </si>
  <si>
    <t>53176</t>
  </si>
  <si>
    <t>52481</t>
  </si>
  <si>
    <t>38243</t>
  </si>
  <si>
    <t>20066</t>
  </si>
  <si>
    <t>52814</t>
  </si>
  <si>
    <t>40168</t>
  </si>
  <si>
    <t>20052</t>
  </si>
  <si>
    <t>38218</t>
  </si>
  <si>
    <t>53181</t>
  </si>
  <si>
    <t>45996</t>
  </si>
  <si>
    <t>42453</t>
  </si>
  <si>
    <t>49484</t>
  </si>
  <si>
    <t>54756</t>
  </si>
  <si>
    <t>20546</t>
  </si>
  <si>
    <t>54574</t>
  </si>
  <si>
    <t>46941</t>
  </si>
  <si>
    <t>21545</t>
  </si>
  <si>
    <t>38203</t>
  </si>
  <si>
    <t>46709</t>
  </si>
  <si>
    <t>46187</t>
  </si>
  <si>
    <t>42874</t>
  </si>
  <si>
    <t>20050</t>
  </si>
  <si>
    <t>20018</t>
  </si>
  <si>
    <t>20869</t>
  </si>
  <si>
    <t>20660</t>
  </si>
  <si>
    <t>38215</t>
  </si>
  <si>
    <t>54680</t>
  </si>
  <si>
    <t>47510</t>
  </si>
  <si>
    <t>20462</t>
  </si>
  <si>
    <t>38905</t>
  </si>
  <si>
    <t>38245</t>
  </si>
  <si>
    <t>54093</t>
  </si>
  <si>
    <t>21622</t>
  </si>
  <si>
    <t>52526</t>
  </si>
  <si>
    <t>46725</t>
  </si>
  <si>
    <t>46595</t>
  </si>
  <si>
    <t>38271</t>
  </si>
  <si>
    <t>54442</t>
  </si>
  <si>
    <t>53656</t>
  </si>
  <si>
    <t>54593</t>
  </si>
  <si>
    <t>53956</t>
  </si>
  <si>
    <t>20959</t>
  </si>
  <si>
    <t>47793</t>
  </si>
  <si>
    <t>20541</t>
  </si>
  <si>
    <t>52681</t>
  </si>
  <si>
    <t>22936</t>
  </si>
  <si>
    <t>38771</t>
  </si>
  <si>
    <t>37635</t>
  </si>
  <si>
    <t>52631</t>
  </si>
  <si>
    <t>40377</t>
  </si>
  <si>
    <t>20772</t>
  </si>
  <si>
    <t>38464</t>
  </si>
  <si>
    <t>39845</t>
  </si>
  <si>
    <t>20614</t>
  </si>
  <si>
    <t>44621</t>
  </si>
  <si>
    <t>20797</t>
  </si>
  <si>
    <t>52017</t>
  </si>
  <si>
    <t>20621</t>
  </si>
  <si>
    <t>19927</t>
  </si>
  <si>
    <t>38235</t>
  </si>
  <si>
    <t>20004</t>
  </si>
  <si>
    <t>38247</t>
  </si>
  <si>
    <t>20119</t>
  </si>
  <si>
    <t>21052</t>
  </si>
  <si>
    <t>21611</t>
  </si>
  <si>
    <t>21051</t>
  </si>
  <si>
    <t>22303</t>
  </si>
  <si>
    <t>42872</t>
  </si>
  <si>
    <t>20700</t>
  </si>
  <si>
    <t>42223</t>
  </si>
  <si>
    <t>20084</t>
  </si>
  <si>
    <t>44156</t>
  </si>
  <si>
    <t>21188</t>
  </si>
  <si>
    <t>45602</t>
  </si>
  <si>
    <t>47308</t>
  </si>
  <si>
    <t>54802</t>
  </si>
  <si>
    <t>38364</t>
  </si>
  <si>
    <t>38255</t>
  </si>
  <si>
    <t>38754</t>
  </si>
  <si>
    <t>54785</t>
  </si>
  <si>
    <t>20344</t>
  </si>
  <si>
    <t>53984</t>
  </si>
  <si>
    <t>20040</t>
  </si>
  <si>
    <t>49926</t>
  </si>
  <si>
    <t>19991</t>
  </si>
  <si>
    <t>38536</t>
  </si>
  <si>
    <t>21724</t>
  </si>
  <si>
    <t>19997</t>
  </si>
  <si>
    <t>54807</t>
  </si>
  <si>
    <t>38075</t>
  </si>
  <si>
    <t>53866</t>
  </si>
  <si>
    <t>20369</t>
  </si>
  <si>
    <t>54522</t>
  </si>
  <si>
    <t>20801</t>
  </si>
  <si>
    <t>54058</t>
  </si>
  <si>
    <t>20864</t>
  </si>
  <si>
    <t>20707</t>
  </si>
  <si>
    <t>42218</t>
  </si>
  <si>
    <t>42743</t>
  </si>
  <si>
    <t>39545</t>
  </si>
  <si>
    <t>54632</t>
  </si>
  <si>
    <t>53985</t>
  </si>
  <si>
    <t>20880</t>
  </si>
  <si>
    <t>20438</t>
  </si>
  <si>
    <t>39786</t>
  </si>
  <si>
    <t>33872</t>
  </si>
  <si>
    <t>40220</t>
  </si>
  <si>
    <t>20294</t>
  </si>
  <si>
    <t>20021</t>
  </si>
  <si>
    <t>54809</t>
  </si>
  <si>
    <t>54811</t>
  </si>
  <si>
    <t>52972</t>
  </si>
  <si>
    <t>44704</t>
  </si>
  <si>
    <t>26474</t>
  </si>
  <si>
    <t>53800</t>
  </si>
  <si>
    <t>21056</t>
  </si>
  <si>
    <t>42278</t>
  </si>
  <si>
    <t>46217</t>
  </si>
  <si>
    <t>38332</t>
  </si>
  <si>
    <t>54810</t>
  </si>
  <si>
    <t>39876</t>
  </si>
  <si>
    <t>39334</t>
  </si>
  <si>
    <t>22307</t>
  </si>
  <si>
    <t>20993</t>
  </si>
  <si>
    <t>46949</t>
  </si>
  <si>
    <t>44465</t>
  </si>
  <si>
    <t>46781</t>
  </si>
  <si>
    <t>20658</t>
  </si>
  <si>
    <t>21012</t>
  </si>
  <si>
    <t>38308</t>
  </si>
  <si>
    <t>53169</t>
  </si>
  <si>
    <t>20580</t>
  </si>
  <si>
    <t>53228</t>
  </si>
  <si>
    <t>43982</t>
  </si>
  <si>
    <t>19987</t>
  </si>
  <si>
    <t>42472</t>
  </si>
  <si>
    <t>45300</t>
  </si>
  <si>
    <t>20149</t>
  </si>
  <si>
    <t>41440</t>
  </si>
  <si>
    <t>41888</t>
  </si>
  <si>
    <t>52450</t>
  </si>
  <si>
    <t>45626</t>
  </si>
  <si>
    <t>37648</t>
  </si>
  <si>
    <t>19874</t>
  </si>
  <si>
    <t>52804</t>
  </si>
  <si>
    <t>45617</t>
  </si>
  <si>
    <t>46409</t>
  </si>
  <si>
    <t>46214</t>
  </si>
  <si>
    <t>52565</t>
  </si>
  <si>
    <t>54804</t>
  </si>
  <si>
    <t>53220</t>
  </si>
  <si>
    <t>54820</t>
  </si>
  <si>
    <t>44108</t>
  </si>
  <si>
    <t>20808</t>
  </si>
  <si>
    <t>20047</t>
  </si>
  <si>
    <t>53239</t>
  </si>
  <si>
    <t>54818</t>
  </si>
  <si>
    <t>52144</t>
  </si>
  <si>
    <t>53355</t>
  </si>
  <si>
    <t>20042</t>
  </si>
  <si>
    <t>19900</t>
  </si>
  <si>
    <t>46825</t>
  </si>
  <si>
    <t>38333</t>
  </si>
  <si>
    <t>54813</t>
  </si>
  <si>
    <t>20072</t>
  </si>
  <si>
    <t>43899</t>
  </si>
  <si>
    <t>20098</t>
  </si>
  <si>
    <t>20053</t>
  </si>
  <si>
    <t>47849</t>
  </si>
  <si>
    <t>20115</t>
  </si>
  <si>
    <t>38197</t>
  </si>
  <si>
    <t>49479</t>
  </si>
  <si>
    <t>52060</t>
  </si>
  <si>
    <t>53459</t>
  </si>
  <si>
    <t>21050</t>
  </si>
  <si>
    <t>20262</t>
  </si>
  <si>
    <t>21203</t>
  </si>
  <si>
    <t>45877</t>
  </si>
  <si>
    <t>46952</t>
  </si>
  <si>
    <t>54487</t>
  </si>
  <si>
    <t>52480</t>
  </si>
  <si>
    <t>40182</t>
  </si>
  <si>
    <t>54833</t>
  </si>
  <si>
    <t>54043</t>
  </si>
  <si>
    <t>22311</t>
  </si>
  <si>
    <t>54830</t>
  </si>
  <si>
    <t>20683</t>
  </si>
  <si>
    <t>20253</t>
  </si>
  <si>
    <t>52830</t>
  </si>
  <si>
    <t>20320</t>
  </si>
  <si>
    <t>20208</t>
  </si>
  <si>
    <t>38586</t>
  </si>
  <si>
    <t>20412</t>
  </si>
  <si>
    <t>20752</t>
  </si>
  <si>
    <t>54584</t>
  </si>
  <si>
    <t>20651</t>
  </si>
  <si>
    <t>20102</t>
  </si>
  <si>
    <t>46007</t>
  </si>
  <si>
    <t>20735</t>
  </si>
  <si>
    <t>51921</t>
  </si>
  <si>
    <t>54814</t>
  </si>
  <si>
    <t>40264</t>
  </si>
  <si>
    <t>45498</t>
  </si>
  <si>
    <t>20032</t>
  </si>
  <si>
    <t>20790</t>
  </si>
  <si>
    <t>20399</t>
  </si>
  <si>
    <t>54836</t>
  </si>
  <si>
    <t>20116</t>
  </si>
  <si>
    <t>45892</t>
  </si>
  <si>
    <t>49995</t>
  </si>
  <si>
    <t>54803</t>
  </si>
  <si>
    <t>54384</t>
  </si>
  <si>
    <t>52705</t>
  </si>
  <si>
    <t>53657</t>
  </si>
  <si>
    <t>20472</t>
  </si>
  <si>
    <t>21022</t>
  </si>
  <si>
    <t>44768</t>
  </si>
  <si>
    <t>20017</t>
  </si>
  <si>
    <t>39795</t>
  </si>
  <si>
    <t>21209</t>
  </si>
  <si>
    <t>52632</t>
  </si>
  <si>
    <t>54421</t>
  </si>
  <si>
    <t>20041</t>
  </si>
  <si>
    <t>45455</t>
  </si>
  <si>
    <t>43852</t>
  </si>
  <si>
    <t>48044</t>
  </si>
  <si>
    <t>43754</t>
  </si>
  <si>
    <t>20003</t>
  </si>
  <si>
    <t>20397</t>
  </si>
  <si>
    <t>45896</t>
  </si>
  <si>
    <t>20951</t>
  </si>
  <si>
    <t>48851</t>
  </si>
  <si>
    <t>20502</t>
  </si>
  <si>
    <t>46794</t>
  </si>
  <si>
    <t>43812</t>
  </si>
  <si>
    <t>44292</t>
  </si>
  <si>
    <t>44680</t>
  </si>
  <si>
    <t>48246</t>
  </si>
  <si>
    <t>20295</t>
  </si>
  <si>
    <t>20967</t>
  </si>
  <si>
    <t>20156</t>
  </si>
  <si>
    <t>40162</t>
  </si>
  <si>
    <t>54844</t>
  </si>
  <si>
    <t>46903</t>
  </si>
  <si>
    <t>51779</t>
  </si>
  <si>
    <t>20681</t>
  </si>
  <si>
    <t>52657</t>
  </si>
  <si>
    <t>51161</t>
  </si>
  <si>
    <t>21101</t>
  </si>
  <si>
    <t>20164</t>
  </si>
  <si>
    <t>48844</t>
  </si>
  <si>
    <t>52666</t>
  </si>
  <si>
    <t>54845</t>
  </si>
  <si>
    <t>48161</t>
  </si>
  <si>
    <t>54851</t>
  </si>
  <si>
    <t>54853</t>
  </si>
  <si>
    <t>43761</t>
  </si>
  <si>
    <t>20123</t>
  </si>
  <si>
    <t>20794</t>
  </si>
  <si>
    <t>20585</t>
  </si>
  <si>
    <t>20034</t>
  </si>
  <si>
    <t>53898</t>
  </si>
  <si>
    <t>54798</t>
  </si>
  <si>
    <t>20121</t>
  </si>
  <si>
    <t>41424</t>
  </si>
  <si>
    <t>47043</t>
  </si>
  <si>
    <t>52795</t>
  </si>
  <si>
    <t>19903</t>
  </si>
  <si>
    <t>21230</t>
  </si>
  <si>
    <t>52183</t>
  </si>
  <si>
    <t>52029</t>
  </si>
  <si>
    <t>20155</t>
  </si>
  <si>
    <t>20016</t>
  </si>
  <si>
    <t>51218</t>
  </si>
  <si>
    <t>20422</t>
  </si>
  <si>
    <t>54857</t>
  </si>
  <si>
    <t>54861</t>
  </si>
  <si>
    <t>21006</t>
  </si>
  <si>
    <t>46821</t>
  </si>
  <si>
    <t>39537</t>
  </si>
  <si>
    <t>20881</t>
  </si>
  <si>
    <t>46381</t>
  </si>
  <si>
    <t>20380</t>
  </si>
  <si>
    <t>39943</t>
  </si>
  <si>
    <t>20118</t>
  </si>
  <si>
    <t>09267</t>
  </si>
  <si>
    <t>20915</t>
  </si>
  <si>
    <t>44302</t>
  </si>
  <si>
    <t>52970</t>
  </si>
  <si>
    <t>42379</t>
  </si>
  <si>
    <t>48564</t>
  </si>
  <si>
    <t>20833</t>
  </si>
  <si>
    <t>20276</t>
  </si>
  <si>
    <t>54863</t>
  </si>
  <si>
    <t>52032</t>
  </si>
  <si>
    <t>20356</t>
  </si>
  <si>
    <t>47326</t>
  </si>
  <si>
    <t>44657</t>
  </si>
  <si>
    <t>48565</t>
  </si>
  <si>
    <t>54849</t>
  </si>
  <si>
    <t>45518</t>
  </si>
  <si>
    <t>54121</t>
  </si>
  <si>
    <t>20291</t>
  </si>
  <si>
    <t>Company code</t>
  </si>
  <si>
    <t>Company Name</t>
  </si>
  <si>
    <t>Vendor</t>
  </si>
  <si>
    <t>Vendor Country</t>
  </si>
  <si>
    <t>Old Bank Account No</t>
  </si>
  <si>
    <t>New Bank Account No</t>
  </si>
  <si>
    <t>Old Account Holder Name</t>
  </si>
  <si>
    <t>New Account Holder Name</t>
  </si>
  <si>
    <t>Bank Country</t>
  </si>
  <si>
    <t>Old Bank Name</t>
  </si>
  <si>
    <t>New Bank Name</t>
  </si>
  <si>
    <t>Credit Limit US</t>
  </si>
  <si>
    <t>Credit Limit LC</t>
  </si>
  <si>
    <t>Date</t>
  </si>
  <si>
    <t>US</t>
  </si>
  <si>
    <t/>
  </si>
  <si>
    <t xml:space="preserve">0.00 </t>
  </si>
  <si>
    <t>23.06.2023</t>
  </si>
  <si>
    <t>IN</t>
  </si>
  <si>
    <t>HDFC BANK LTD.</t>
  </si>
  <si>
    <t>CANARA BANK</t>
  </si>
  <si>
    <t>PE</t>
  </si>
  <si>
    <t>BR</t>
  </si>
  <si>
    <t>IT</t>
  </si>
  <si>
    <t>AE</t>
  </si>
  <si>
    <t>VN</t>
  </si>
  <si>
    <t>NHTMCP A CHAU ACB</t>
  </si>
  <si>
    <t>BREMP00778</t>
  </si>
  <si>
    <t>BANCOOB  BANCO COOPERATIVO DO BRASIL SA</t>
  </si>
  <si>
    <t>BREMP01099</t>
  </si>
  <si>
    <t>ITAÚ UNIBANCO S.A.</t>
  </si>
  <si>
    <t>MM19</t>
  </si>
  <si>
    <t>ZZ10</t>
  </si>
  <si>
    <t>ZZ12</t>
  </si>
  <si>
    <t>EE11</t>
  </si>
  <si>
    <t>1F12</t>
  </si>
  <si>
    <t>EF10</t>
  </si>
  <si>
    <t>HI12</t>
  </si>
  <si>
    <t>RB11</t>
  </si>
  <si>
    <t>ABC Ltd</t>
  </si>
  <si>
    <t>DEF Ltd</t>
  </si>
  <si>
    <t>GHI Ltd</t>
  </si>
  <si>
    <t>MMNN Ltd</t>
  </si>
  <si>
    <t>MNO Ltd</t>
  </si>
  <si>
    <t>RRB Ltd</t>
  </si>
  <si>
    <t>ZZ Ltd</t>
  </si>
  <si>
    <t>ZZ LLP</t>
  </si>
  <si>
    <t>INDUSTRIA</t>
  </si>
  <si>
    <t>I AGUILAR</t>
  </si>
  <si>
    <t>L,S.p.A</t>
  </si>
  <si>
    <t>ASTRIDE F</t>
  </si>
  <si>
    <t xml:space="preserve"> CP CONG </t>
  </si>
  <si>
    <t>Dorado Al</t>
  </si>
  <si>
    <t>CON DE SO</t>
  </si>
  <si>
    <t>TON DA SI</t>
  </si>
  <si>
    <t xml:space="preserve"> LOGISTIC</t>
  </si>
  <si>
    <t xml:space="preserve"> Ware Hou</t>
  </si>
  <si>
    <t>AA12KP45</t>
  </si>
  <si>
    <t>MNO12345</t>
  </si>
  <si>
    <t>675GHN567</t>
  </si>
  <si>
    <t>20.06.2023</t>
  </si>
  <si>
    <t>BBNGH546</t>
  </si>
  <si>
    <t>BBNGH645</t>
  </si>
  <si>
    <t>BBNG111123</t>
  </si>
  <si>
    <t>776635-00</t>
  </si>
  <si>
    <t>PPNH - 1234-00</t>
  </si>
  <si>
    <t>PPNH - 1235-00</t>
  </si>
  <si>
    <t>STIDE FZC</t>
  </si>
  <si>
    <t>orado Alm</t>
  </si>
  <si>
    <t>ON DE SOU</t>
  </si>
  <si>
    <t>ON DA SIL</t>
  </si>
  <si>
    <t>LOGISTICS</t>
  </si>
  <si>
    <t>WAREHOUSE</t>
  </si>
  <si>
    <t>Thanh pho</t>
  </si>
  <si>
    <t xml:space="preserve">NDUSTRIA </t>
  </si>
  <si>
    <t xml:space="preserve"> AGUILAR </t>
  </si>
  <si>
    <t xml:space="preserve"> SPA</t>
  </si>
  <si>
    <t>TNHH KY T</t>
  </si>
  <si>
    <t>BRADES BAK</t>
  </si>
  <si>
    <t>BOB</t>
  </si>
  <si>
    <t>ALBA BANK</t>
  </si>
  <si>
    <t>CVC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</si>
</sst>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1" fontId="0" fillId="2" borderId="1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NumberFormat="1" applyAlignment="1">
      <alignment horizontal="right" vertical="top"/>
    </xf>
    <xf numFmtId="1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/>
    </xf>
    <xf numFmtId="43" fontId="0" fillId="2" borderId="1" xfId="1" applyFont="1" applyFill="1" applyBorder="1" applyAlignment="1">
      <alignment vertical="top"/>
    </xf>
    <xf numFmtId="43" fontId="0" fillId="2" borderId="1" xfId="1" applyFont="1" applyFill="1" applyBorder="1" applyAlignment="1">
      <alignment vertical="top" wrapText="1"/>
    </xf>
    <xf numFmtId="43" fontId="0" fillId="0" borderId="0" xfId="1" applyFont="1" applyAlignment="1">
      <alignment horizontal="right" vertical="top"/>
    </xf>
    <xf numFmtId="43" fontId="0" fillId="0" borderId="0" xfId="1" applyFont="1" applyAlignment="1">
      <alignment vertical="top"/>
    </xf>
    <xf numFmtId="0" fontId="2" fillId="4" borderId="2" xfId="0" applyFont="1" applyFill="1" applyBorder="1" applyAlignment="1">
      <alignment vertical="center" wrapText="1"/>
    </xf>
    <xf numFmtId="0" fontId="0" fillId="0" borderId="2" xfId="0" applyBorder="1"/>
    <xf numFmtId="0" fontId="0" fillId="0" borderId="2" xfId="0" applyNumberFormat="1" applyBorder="1"/>
    <xf numFmtId="0" fontId="2" fillId="3" borderId="2" xfId="0" applyFont="1" applyFill="1" applyBorder="1" applyAlignment="1">
      <alignment vertical="center" wrapText="1"/>
    </xf>
    <xf numFmtId="0" fontId="0" fillId="0" borderId="2" xfId="0" applyBorder="1" applyAlignment="1">
      <alignment horizontal="right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3AAC-C6E4-41C8-A7AC-9FD514AA2A93}">
  <dimension ref="A1:Q740"/>
  <sheetViews>
    <sheetView tabSelected="1" zoomScale="85" zoomScaleNormal="85" workbookViewId="0"/>
  </sheetViews>
  <sheetFormatPr defaultRowHeight="12.75" x14ac:dyDescent="0.2"/>
  <cols>
    <col min="1" max="1" width="13.85546875" bestFit="1" customWidth="1"/>
    <col min="2" max="2" width="17.7109375" bestFit="1" customWidth="1"/>
    <col min="3" max="3" width="13" style="5" bestFit="1" customWidth="1"/>
    <col min="4" max="4" width="15.7109375" bestFit="1" customWidth="1"/>
    <col min="5" max="5" width="13.7109375" bestFit="1" customWidth="1"/>
    <col min="6" max="6" width="18.140625" bestFit="1" customWidth="1"/>
    <col min="7" max="7" width="11.7109375" customWidth="1"/>
    <col min="8" max="8" width="12.5703125" bestFit="1" customWidth="1"/>
    <col min="9" max="9" width="6" style="6" bestFit="1" customWidth="1"/>
    <col min="10" max="10" width="19.42578125" style="6" bestFit="1" customWidth="1"/>
    <col min="11" max="11" width="11.140625" style="13" bestFit="1" customWidth="1"/>
    <col min="12" max="12" width="10" bestFit="1" customWidth="1"/>
    <col min="13" max="13" width="12.85546875" style="13" bestFit="1" customWidth="1"/>
    <col min="14" max="14" width="8.42578125" bestFit="1" customWidth="1"/>
    <col min="15" max="15" width="15.140625" style="13" bestFit="1" customWidth="1"/>
    <col min="16" max="16" width="11.28515625" style="13" bestFit="1" customWidth="1"/>
    <col min="17" max="17" width="9.28515625" style="13" bestFit="1" customWidth="1"/>
    <col min="18" max="18" width="19.42578125" bestFit="1" customWidth="1"/>
  </cols>
  <sheetData>
    <row r="1" spans="1:17" ht="51" x14ac:dyDescent="0.2">
      <c r="A1" s="1" t="s">
        <v>3</v>
      </c>
      <c r="B1" s="1" t="s">
        <v>4</v>
      </c>
      <c r="C1" s="4" t="s">
        <v>5</v>
      </c>
      <c r="D1" s="1" t="s">
        <v>6</v>
      </c>
      <c r="E1" s="1" t="s">
        <v>7</v>
      </c>
      <c r="F1" s="1" t="s">
        <v>8</v>
      </c>
      <c r="G1" s="9" t="s">
        <v>9</v>
      </c>
      <c r="H1" s="9" t="s">
        <v>10</v>
      </c>
      <c r="I1" s="8" t="s">
        <v>11</v>
      </c>
      <c r="J1" s="9" t="s">
        <v>12</v>
      </c>
      <c r="K1" s="10" t="s">
        <v>13</v>
      </c>
      <c r="L1" s="1" t="s">
        <v>14</v>
      </c>
      <c r="M1" s="11" t="s">
        <v>15</v>
      </c>
      <c r="N1" s="1" t="s">
        <v>16</v>
      </c>
      <c r="O1" s="10" t="s">
        <v>17</v>
      </c>
      <c r="P1" s="11" t="s">
        <v>18</v>
      </c>
      <c r="Q1" s="11" t="s">
        <v>19</v>
      </c>
    </row>
    <row r="2" spans="1:17" x14ac:dyDescent="0.2">
      <c r="A2" t="s">
        <v>29</v>
      </c>
      <c r="B2" t="s">
        <v>30</v>
      </c>
      <c r="C2" s="5">
        <v>51056005.189999998</v>
      </c>
      <c r="D2" s="2">
        <v>44924</v>
      </c>
      <c r="E2" s="5">
        <f t="shared" ref="E2:E7" si="0">C2*2.1</f>
        <v>107217610.899</v>
      </c>
      <c r="F2" s="2">
        <v>44928</v>
      </c>
      <c r="G2" s="3" t="s">
        <v>321</v>
      </c>
      <c r="H2" t="s">
        <v>31</v>
      </c>
      <c r="I2" s="7">
        <v>49689</v>
      </c>
      <c r="J2" t="s">
        <v>20</v>
      </c>
      <c r="K2" s="12">
        <v>4620</v>
      </c>
      <c r="L2" t="s">
        <v>0</v>
      </c>
      <c r="M2" s="12">
        <v>74318.09</v>
      </c>
      <c r="N2" t="s">
        <v>1</v>
      </c>
      <c r="O2" s="12">
        <v>16.09</v>
      </c>
      <c r="P2" s="12">
        <v>14247.67</v>
      </c>
      <c r="Q2" s="12">
        <v>3.08</v>
      </c>
    </row>
    <row r="3" spans="1:17" x14ac:dyDescent="0.2">
      <c r="A3" t="s">
        <v>29</v>
      </c>
      <c r="B3" t="s">
        <v>30</v>
      </c>
      <c r="C3" s="5">
        <v>51056007.259999998</v>
      </c>
      <c r="D3" s="2">
        <v>44923</v>
      </c>
      <c r="E3" s="5">
        <f t="shared" si="0"/>
        <v>107217615.24600001</v>
      </c>
      <c r="F3" s="2">
        <v>44928</v>
      </c>
      <c r="G3" s="3" t="s">
        <v>322</v>
      </c>
      <c r="H3" t="s">
        <v>32</v>
      </c>
      <c r="I3" s="7">
        <v>49689</v>
      </c>
      <c r="J3" t="s">
        <v>20</v>
      </c>
      <c r="K3" s="12">
        <v>53640</v>
      </c>
      <c r="L3" t="s">
        <v>0</v>
      </c>
      <c r="M3" s="12">
        <v>858240</v>
      </c>
      <c r="N3" t="s">
        <v>1</v>
      </c>
      <c r="O3" s="12">
        <v>16</v>
      </c>
      <c r="P3" s="12">
        <v>164495.73000000001</v>
      </c>
      <c r="Q3" s="12">
        <v>3.07</v>
      </c>
    </row>
    <row r="4" spans="1:17" x14ac:dyDescent="0.2">
      <c r="A4" t="s">
        <v>29</v>
      </c>
      <c r="B4" t="s">
        <v>30</v>
      </c>
      <c r="C4" s="5">
        <v>51056012.07</v>
      </c>
      <c r="D4" s="2">
        <v>44923</v>
      </c>
      <c r="E4" s="5">
        <f t="shared" si="0"/>
        <v>107217625.347</v>
      </c>
      <c r="F4" s="2">
        <v>44929</v>
      </c>
      <c r="G4" s="3" t="s">
        <v>323</v>
      </c>
      <c r="H4" t="s">
        <v>33</v>
      </c>
      <c r="I4" s="7">
        <v>49689</v>
      </c>
      <c r="J4" t="s">
        <v>20</v>
      </c>
      <c r="K4" s="12">
        <v>18000</v>
      </c>
      <c r="L4" t="s">
        <v>0</v>
      </c>
      <c r="M4" s="12">
        <v>300213</v>
      </c>
      <c r="N4" t="s">
        <v>1</v>
      </c>
      <c r="O4" s="12">
        <v>16.68</v>
      </c>
      <c r="P4" s="12">
        <v>56184.94</v>
      </c>
      <c r="Q4" s="12">
        <v>3.12</v>
      </c>
    </row>
    <row r="5" spans="1:17" x14ac:dyDescent="0.2">
      <c r="A5" t="s">
        <v>29</v>
      </c>
      <c r="B5" t="s">
        <v>30</v>
      </c>
      <c r="C5" s="5">
        <v>51056012.670000002</v>
      </c>
      <c r="D5" s="2">
        <v>44916</v>
      </c>
      <c r="E5" s="5">
        <f t="shared" si="0"/>
        <v>107217626.60700001</v>
      </c>
      <c r="F5" s="2">
        <v>44929</v>
      </c>
      <c r="G5" s="3" t="s">
        <v>324</v>
      </c>
      <c r="H5" t="s">
        <v>34</v>
      </c>
      <c r="I5" s="7">
        <v>49738</v>
      </c>
      <c r="J5" t="s">
        <v>21</v>
      </c>
      <c r="K5" s="12">
        <v>15000</v>
      </c>
      <c r="L5" t="s">
        <v>0</v>
      </c>
      <c r="M5" s="12">
        <v>172590</v>
      </c>
      <c r="N5" t="s">
        <v>1</v>
      </c>
      <c r="O5" s="12">
        <v>11.51</v>
      </c>
      <c r="P5" s="12">
        <v>32300.26</v>
      </c>
      <c r="Q5" s="12">
        <v>2.15</v>
      </c>
    </row>
    <row r="6" spans="1:17" x14ac:dyDescent="0.2">
      <c r="A6" t="s">
        <v>29</v>
      </c>
      <c r="B6" t="s">
        <v>30</v>
      </c>
      <c r="C6" s="5">
        <v>51056013.310000002</v>
      </c>
      <c r="D6" s="2">
        <v>44914</v>
      </c>
      <c r="E6" s="5">
        <f t="shared" si="0"/>
        <v>107217627.95100001</v>
      </c>
      <c r="F6" s="2">
        <v>44929</v>
      </c>
      <c r="G6" s="3" t="s">
        <v>325</v>
      </c>
      <c r="H6" t="s">
        <v>35</v>
      </c>
      <c r="I6" s="7">
        <v>49689</v>
      </c>
      <c r="J6" t="s">
        <v>20</v>
      </c>
      <c r="K6" s="12">
        <v>5940</v>
      </c>
      <c r="L6" t="s">
        <v>0</v>
      </c>
      <c r="M6" s="12">
        <v>96723</v>
      </c>
      <c r="N6" t="s">
        <v>1</v>
      </c>
      <c r="O6" s="12">
        <v>16.28</v>
      </c>
      <c r="P6" s="12">
        <v>18101.73</v>
      </c>
      <c r="Q6" s="12">
        <v>3.05</v>
      </c>
    </row>
    <row r="7" spans="1:17" x14ac:dyDescent="0.2">
      <c r="A7" t="s">
        <v>29</v>
      </c>
      <c r="B7" t="s">
        <v>30</v>
      </c>
      <c r="C7" s="5">
        <v>51056015.310000002</v>
      </c>
      <c r="D7" s="2">
        <v>44919</v>
      </c>
      <c r="E7" s="5">
        <f t="shared" si="0"/>
        <v>107217632.15100001</v>
      </c>
      <c r="F7" s="2">
        <v>44929</v>
      </c>
      <c r="G7" s="3" t="s">
        <v>326</v>
      </c>
      <c r="H7" t="s">
        <v>36</v>
      </c>
      <c r="I7" s="7">
        <v>35333</v>
      </c>
      <c r="J7" t="s">
        <v>22</v>
      </c>
      <c r="K7" s="12">
        <v>1.992</v>
      </c>
      <c r="L7" t="s">
        <v>2</v>
      </c>
      <c r="M7" s="12">
        <v>27081.5</v>
      </c>
      <c r="N7" t="s">
        <v>1</v>
      </c>
      <c r="O7" s="12">
        <v>13595.13</v>
      </c>
      <c r="P7" s="12">
        <v>5068.3100000000004</v>
      </c>
      <c r="Q7" s="12">
        <v>2544.33</v>
      </c>
    </row>
    <row r="8" spans="1:17" x14ac:dyDescent="0.2">
      <c r="A8" t="s">
        <v>29</v>
      </c>
      <c r="B8" t="s">
        <v>30</v>
      </c>
      <c r="C8" s="5">
        <v>51056015.32</v>
      </c>
      <c r="D8" s="2">
        <v>44919</v>
      </c>
      <c r="E8" s="5">
        <f>C8*2.12</f>
        <v>108238752.47840001</v>
      </c>
      <c r="F8" s="2">
        <v>44929</v>
      </c>
      <c r="G8" s="3" t="s">
        <v>326</v>
      </c>
      <c r="H8" t="s">
        <v>36</v>
      </c>
      <c r="I8" s="7">
        <v>35333</v>
      </c>
      <c r="J8" t="s">
        <v>22</v>
      </c>
      <c r="K8" s="12">
        <v>4</v>
      </c>
      <c r="L8" t="s">
        <v>2</v>
      </c>
      <c r="M8" s="12">
        <v>54380.53</v>
      </c>
      <c r="N8" t="s">
        <v>1</v>
      </c>
      <c r="O8" s="12">
        <v>13595.13</v>
      </c>
      <c r="P8" s="12">
        <v>10177.33</v>
      </c>
      <c r="Q8" s="12">
        <v>2544.33</v>
      </c>
    </row>
    <row r="9" spans="1:17" x14ac:dyDescent="0.2">
      <c r="A9" t="s">
        <v>29</v>
      </c>
      <c r="B9" t="s">
        <v>30</v>
      </c>
      <c r="C9" s="5">
        <v>51056015.350000001</v>
      </c>
      <c r="D9" s="2">
        <v>44905</v>
      </c>
      <c r="E9" s="5">
        <f t="shared" ref="E9:E29" si="1">C9*2.1</f>
        <v>107217632.23500001</v>
      </c>
      <c r="F9" s="2">
        <v>44929</v>
      </c>
      <c r="G9" s="3" t="s">
        <v>327</v>
      </c>
      <c r="H9" t="s">
        <v>37</v>
      </c>
      <c r="I9" s="7">
        <v>35333</v>
      </c>
      <c r="J9" t="s">
        <v>22</v>
      </c>
      <c r="K9" s="12">
        <v>10</v>
      </c>
      <c r="L9" t="s">
        <v>2</v>
      </c>
      <c r="M9" s="12">
        <v>135467.5</v>
      </c>
      <c r="N9" t="s">
        <v>1</v>
      </c>
      <c r="O9" s="12">
        <v>13546.75</v>
      </c>
      <c r="P9" s="12">
        <v>25352.78</v>
      </c>
      <c r="Q9" s="12">
        <v>2535.2800000000002</v>
      </c>
    </row>
    <row r="10" spans="1:17" x14ac:dyDescent="0.2">
      <c r="A10" t="s">
        <v>29</v>
      </c>
      <c r="B10" t="s">
        <v>30</v>
      </c>
      <c r="C10" s="5">
        <v>51056015.390000001</v>
      </c>
      <c r="D10" s="2">
        <v>44928</v>
      </c>
      <c r="E10" s="5">
        <f t="shared" si="1"/>
        <v>107217632.31900001</v>
      </c>
      <c r="F10" s="2">
        <v>44929</v>
      </c>
      <c r="G10" s="3" t="s">
        <v>328</v>
      </c>
      <c r="H10" t="s">
        <v>38</v>
      </c>
      <c r="I10" s="7">
        <v>49689</v>
      </c>
      <c r="J10" t="s">
        <v>20</v>
      </c>
      <c r="K10" s="12">
        <v>30180</v>
      </c>
      <c r="L10" t="s">
        <v>0</v>
      </c>
      <c r="M10" s="12">
        <v>409412.83</v>
      </c>
      <c r="N10" t="s">
        <v>1</v>
      </c>
      <c r="O10" s="12">
        <v>13.57</v>
      </c>
      <c r="P10" s="12">
        <v>76621.72</v>
      </c>
      <c r="Q10" s="12">
        <v>2.54</v>
      </c>
    </row>
    <row r="11" spans="1:17" x14ac:dyDescent="0.2">
      <c r="A11" t="s">
        <v>29</v>
      </c>
      <c r="B11" t="s">
        <v>30</v>
      </c>
      <c r="C11" s="5">
        <v>51056015.410000004</v>
      </c>
      <c r="D11" s="2">
        <v>44918</v>
      </c>
      <c r="E11" s="5">
        <f t="shared" si="1"/>
        <v>107217632.36100002</v>
      </c>
      <c r="F11" s="2">
        <v>44929</v>
      </c>
      <c r="G11" s="3" t="s">
        <v>329</v>
      </c>
      <c r="H11" t="s">
        <v>39</v>
      </c>
      <c r="I11" s="7">
        <v>35333</v>
      </c>
      <c r="J11" t="s">
        <v>22</v>
      </c>
      <c r="K11" s="12">
        <v>3.8570000000000002</v>
      </c>
      <c r="L11" t="s">
        <v>2</v>
      </c>
      <c r="M11" s="12">
        <v>52249.81</v>
      </c>
      <c r="N11" t="s">
        <v>1</v>
      </c>
      <c r="O11" s="12">
        <v>13546.75</v>
      </c>
      <c r="P11" s="12">
        <v>9778.57</v>
      </c>
      <c r="Q11" s="12">
        <v>2535.2800000000002</v>
      </c>
    </row>
    <row r="12" spans="1:17" x14ac:dyDescent="0.2">
      <c r="A12" t="s">
        <v>29</v>
      </c>
      <c r="B12" t="s">
        <v>30</v>
      </c>
      <c r="C12" s="5">
        <v>51056015.450000003</v>
      </c>
      <c r="D12" s="2">
        <v>44909</v>
      </c>
      <c r="E12" s="5">
        <f t="shared" si="1"/>
        <v>107217632.44500001</v>
      </c>
      <c r="F12" s="2">
        <v>44929</v>
      </c>
      <c r="G12" s="3" t="s">
        <v>329</v>
      </c>
      <c r="H12" t="s">
        <v>39</v>
      </c>
      <c r="I12" s="7">
        <v>35333</v>
      </c>
      <c r="J12" t="s">
        <v>22</v>
      </c>
      <c r="K12" s="12">
        <v>14.367000000000001</v>
      </c>
      <c r="L12" t="s">
        <v>2</v>
      </c>
      <c r="M12" s="12">
        <v>194626.16</v>
      </c>
      <c r="N12" t="s">
        <v>1</v>
      </c>
      <c r="O12" s="12">
        <v>13546.75</v>
      </c>
      <c r="P12" s="12">
        <v>36424.339999999997</v>
      </c>
      <c r="Q12" s="12">
        <v>2535.2800000000002</v>
      </c>
    </row>
    <row r="13" spans="1:17" x14ac:dyDescent="0.2">
      <c r="A13" t="s">
        <v>29</v>
      </c>
      <c r="B13" t="s">
        <v>30</v>
      </c>
      <c r="C13" s="5">
        <v>51056015.520000003</v>
      </c>
      <c r="D13" s="2">
        <v>44919</v>
      </c>
      <c r="E13" s="5">
        <f t="shared" si="1"/>
        <v>107217632.59200001</v>
      </c>
      <c r="F13" s="2">
        <v>44929</v>
      </c>
      <c r="G13" s="3" t="s">
        <v>326</v>
      </c>
      <c r="H13" t="s">
        <v>36</v>
      </c>
      <c r="I13" s="7">
        <v>35333</v>
      </c>
      <c r="J13" t="s">
        <v>22</v>
      </c>
      <c r="K13" s="12">
        <v>4</v>
      </c>
      <c r="L13" t="s">
        <v>2</v>
      </c>
      <c r="M13" s="12">
        <v>54380.53</v>
      </c>
      <c r="N13" t="s">
        <v>1</v>
      </c>
      <c r="O13" s="12">
        <v>13595.13</v>
      </c>
      <c r="P13" s="12">
        <v>10177.33</v>
      </c>
      <c r="Q13" s="12">
        <v>2544.33</v>
      </c>
    </row>
    <row r="14" spans="1:17" x14ac:dyDescent="0.2">
      <c r="A14" t="s">
        <v>29</v>
      </c>
      <c r="B14" t="s">
        <v>30</v>
      </c>
      <c r="C14" s="5">
        <v>51056016.189999998</v>
      </c>
      <c r="D14" s="2">
        <v>44929</v>
      </c>
      <c r="E14" s="5">
        <f t="shared" si="1"/>
        <v>107217633.999</v>
      </c>
      <c r="F14" s="2">
        <v>44929</v>
      </c>
      <c r="G14" s="3" t="s">
        <v>330</v>
      </c>
      <c r="H14" t="s">
        <v>40</v>
      </c>
      <c r="I14" s="7">
        <v>49689</v>
      </c>
      <c r="J14" t="s">
        <v>20</v>
      </c>
      <c r="K14" s="12">
        <v>30000</v>
      </c>
      <c r="L14" t="s">
        <v>0</v>
      </c>
      <c r="M14" s="12">
        <v>459480</v>
      </c>
      <c r="N14" t="s">
        <v>1</v>
      </c>
      <c r="O14" s="12">
        <v>15.32</v>
      </c>
      <c r="P14" s="12">
        <v>85991.8</v>
      </c>
      <c r="Q14" s="12">
        <v>2.87</v>
      </c>
    </row>
    <row r="15" spans="1:17" x14ac:dyDescent="0.2">
      <c r="A15" t="s">
        <v>29</v>
      </c>
      <c r="B15" t="s">
        <v>30</v>
      </c>
      <c r="C15" s="5">
        <v>51056017.219999999</v>
      </c>
      <c r="D15" s="2">
        <v>44923</v>
      </c>
      <c r="E15" s="5">
        <f t="shared" si="1"/>
        <v>107217636.162</v>
      </c>
      <c r="F15" s="2">
        <v>44929</v>
      </c>
      <c r="G15" s="3" t="s">
        <v>331</v>
      </c>
      <c r="H15" t="s">
        <v>41</v>
      </c>
      <c r="I15" s="7">
        <v>49731</v>
      </c>
      <c r="J15" t="s">
        <v>23</v>
      </c>
      <c r="K15" s="12">
        <v>1619</v>
      </c>
      <c r="L15" t="s">
        <v>0</v>
      </c>
      <c r="M15" s="12">
        <v>29802.71</v>
      </c>
      <c r="N15" t="s">
        <v>1</v>
      </c>
      <c r="O15" s="12">
        <v>18.41</v>
      </c>
      <c r="P15" s="12">
        <v>5577.59</v>
      </c>
      <c r="Q15" s="12">
        <v>3.45</v>
      </c>
    </row>
    <row r="16" spans="1:17" x14ac:dyDescent="0.2">
      <c r="A16" t="s">
        <v>29</v>
      </c>
      <c r="B16" t="s">
        <v>30</v>
      </c>
      <c r="C16" s="5">
        <v>51056017.300000004</v>
      </c>
      <c r="D16" s="2">
        <v>44919</v>
      </c>
      <c r="E16" s="5">
        <f t="shared" si="1"/>
        <v>107217636.33000001</v>
      </c>
      <c r="F16" s="2">
        <v>44929</v>
      </c>
      <c r="G16" s="3" t="s">
        <v>326</v>
      </c>
      <c r="H16" t="s">
        <v>36</v>
      </c>
      <c r="I16" s="7">
        <v>35333</v>
      </c>
      <c r="J16" t="s">
        <v>22</v>
      </c>
      <c r="K16" s="12">
        <v>2.524</v>
      </c>
      <c r="L16" t="s">
        <v>2</v>
      </c>
      <c r="M16" s="12">
        <v>34314.11</v>
      </c>
      <c r="N16" t="s">
        <v>1</v>
      </c>
      <c r="O16" s="12">
        <v>13595.13</v>
      </c>
      <c r="P16" s="12">
        <v>6421.89</v>
      </c>
      <c r="Q16" s="12">
        <v>2544.33</v>
      </c>
    </row>
    <row r="17" spans="1:17" x14ac:dyDescent="0.2">
      <c r="A17" t="s">
        <v>29</v>
      </c>
      <c r="B17" t="s">
        <v>30</v>
      </c>
      <c r="C17" s="5">
        <v>51056017.660000004</v>
      </c>
      <c r="D17" s="2">
        <v>44924</v>
      </c>
      <c r="E17" s="5">
        <f t="shared" si="1"/>
        <v>107217637.08600001</v>
      </c>
      <c r="F17" s="2">
        <v>44929</v>
      </c>
      <c r="G17" s="3" t="s">
        <v>332</v>
      </c>
      <c r="H17" t="s">
        <v>42</v>
      </c>
      <c r="I17" s="7">
        <v>49689</v>
      </c>
      <c r="J17" t="s">
        <v>20</v>
      </c>
      <c r="K17" s="12">
        <v>5150</v>
      </c>
      <c r="L17" t="s">
        <v>0</v>
      </c>
      <c r="M17" s="12">
        <v>89803.13</v>
      </c>
      <c r="N17" t="s">
        <v>1</v>
      </c>
      <c r="O17" s="12">
        <v>17.440000000000001</v>
      </c>
      <c r="P17" s="12">
        <v>16806.68</v>
      </c>
      <c r="Q17" s="12">
        <v>3.26</v>
      </c>
    </row>
    <row r="18" spans="1:17" x14ac:dyDescent="0.2">
      <c r="A18" t="s">
        <v>29</v>
      </c>
      <c r="B18" t="s">
        <v>30</v>
      </c>
      <c r="C18" s="5">
        <v>51056017.920000002</v>
      </c>
      <c r="D18" s="2">
        <v>44929</v>
      </c>
      <c r="E18" s="5">
        <f t="shared" si="1"/>
        <v>107217637.63200001</v>
      </c>
      <c r="F18" s="2">
        <v>44929</v>
      </c>
      <c r="G18" s="3" t="s">
        <v>330</v>
      </c>
      <c r="H18" t="s">
        <v>40</v>
      </c>
      <c r="I18" s="7">
        <v>49689</v>
      </c>
      <c r="J18" t="s">
        <v>20</v>
      </c>
      <c r="K18" s="12">
        <v>18000</v>
      </c>
      <c r="L18" t="s">
        <v>0</v>
      </c>
      <c r="M18" s="12">
        <v>274746</v>
      </c>
      <c r="N18" t="s">
        <v>1</v>
      </c>
      <c r="O18" s="12">
        <v>15.26</v>
      </c>
      <c r="P18" s="12">
        <v>51418.79</v>
      </c>
      <c r="Q18" s="12">
        <v>2.86</v>
      </c>
    </row>
    <row r="19" spans="1:17" x14ac:dyDescent="0.2">
      <c r="A19" t="s">
        <v>29</v>
      </c>
      <c r="B19" t="s">
        <v>30</v>
      </c>
      <c r="C19" s="5">
        <v>51056040.850000001</v>
      </c>
      <c r="D19" s="2">
        <v>44929</v>
      </c>
      <c r="E19" s="5">
        <f t="shared" si="1"/>
        <v>107217685.78500001</v>
      </c>
      <c r="F19" s="2">
        <v>44929</v>
      </c>
      <c r="G19" s="3" t="s">
        <v>330</v>
      </c>
      <c r="H19" t="s">
        <v>40</v>
      </c>
      <c r="I19" s="7">
        <v>49689</v>
      </c>
      <c r="J19" t="s">
        <v>20</v>
      </c>
      <c r="K19" s="12">
        <v>29160</v>
      </c>
      <c r="L19" t="s">
        <v>0</v>
      </c>
      <c r="M19" s="12">
        <v>461316.06</v>
      </c>
      <c r="N19" t="s">
        <v>1</v>
      </c>
      <c r="O19" s="12">
        <v>15.82</v>
      </c>
      <c r="P19" s="12">
        <v>86335.42</v>
      </c>
      <c r="Q19" s="12">
        <v>2.96</v>
      </c>
    </row>
    <row r="20" spans="1:17" x14ac:dyDescent="0.2">
      <c r="A20" t="s">
        <v>29</v>
      </c>
      <c r="B20" t="s">
        <v>30</v>
      </c>
      <c r="C20" s="5">
        <v>51056055.829999998</v>
      </c>
      <c r="D20" s="2">
        <v>44929</v>
      </c>
      <c r="E20" s="5">
        <f t="shared" si="1"/>
        <v>107217717.243</v>
      </c>
      <c r="F20" s="2">
        <v>44929</v>
      </c>
      <c r="G20" s="3" t="s">
        <v>333</v>
      </c>
      <c r="H20" t="s">
        <v>43</v>
      </c>
      <c r="I20" s="7">
        <v>49731</v>
      </c>
      <c r="J20" t="s">
        <v>23</v>
      </c>
      <c r="K20" s="12">
        <v>2428</v>
      </c>
      <c r="L20" t="s">
        <v>0</v>
      </c>
      <c r="M20" s="12">
        <v>44736.87</v>
      </c>
      <c r="N20" t="s">
        <v>1</v>
      </c>
      <c r="O20" s="12">
        <v>18.43</v>
      </c>
      <c r="P20" s="12">
        <v>8372.52</v>
      </c>
      <c r="Q20" s="12">
        <v>3.45</v>
      </c>
    </row>
    <row r="21" spans="1:17" x14ac:dyDescent="0.2">
      <c r="A21" t="s">
        <v>29</v>
      </c>
      <c r="B21" t="s">
        <v>30</v>
      </c>
      <c r="C21" s="5">
        <v>51056114.280000001</v>
      </c>
      <c r="D21" s="2">
        <v>44916</v>
      </c>
      <c r="E21" s="5">
        <f t="shared" si="1"/>
        <v>107217839.98800001</v>
      </c>
      <c r="F21" s="2">
        <v>44930</v>
      </c>
      <c r="G21" s="3" t="s">
        <v>334</v>
      </c>
      <c r="H21" t="s">
        <v>44</v>
      </c>
      <c r="I21" s="7">
        <v>35334</v>
      </c>
      <c r="J21" t="s">
        <v>24</v>
      </c>
      <c r="K21" s="12">
        <v>6</v>
      </c>
      <c r="L21" t="s">
        <v>2</v>
      </c>
      <c r="M21" s="12">
        <v>82054.600000000006</v>
      </c>
      <c r="N21" t="s">
        <v>1</v>
      </c>
      <c r="O21" s="12">
        <v>13675.77</v>
      </c>
      <c r="P21" s="12">
        <v>15356.54</v>
      </c>
      <c r="Q21" s="12">
        <v>2559.42</v>
      </c>
    </row>
    <row r="22" spans="1:17" x14ac:dyDescent="0.2">
      <c r="A22" t="s">
        <v>29</v>
      </c>
      <c r="B22" t="s">
        <v>30</v>
      </c>
      <c r="C22" s="5">
        <v>51056114.359999999</v>
      </c>
      <c r="D22" s="2">
        <v>44930</v>
      </c>
      <c r="E22" s="5">
        <f t="shared" si="1"/>
        <v>107217840.156</v>
      </c>
      <c r="F22" s="2">
        <v>44930</v>
      </c>
      <c r="G22" s="3" t="s">
        <v>335</v>
      </c>
      <c r="H22" t="s">
        <v>45</v>
      </c>
      <c r="I22" s="7">
        <v>35334</v>
      </c>
      <c r="J22" t="s">
        <v>24</v>
      </c>
      <c r="K22" s="12">
        <v>6.9</v>
      </c>
      <c r="L22" t="s">
        <v>2</v>
      </c>
      <c r="M22" s="12">
        <v>92537.85</v>
      </c>
      <c r="N22" t="s">
        <v>1</v>
      </c>
      <c r="O22" s="12">
        <v>13411.28</v>
      </c>
      <c r="P22" s="12">
        <v>12495.91</v>
      </c>
      <c r="Q22" s="12">
        <v>1811</v>
      </c>
    </row>
    <row r="23" spans="1:17" x14ac:dyDescent="0.2">
      <c r="A23" t="s">
        <v>29</v>
      </c>
      <c r="B23" t="s">
        <v>30</v>
      </c>
      <c r="C23" s="5">
        <v>51056114.640000001</v>
      </c>
      <c r="D23" s="2">
        <v>44929</v>
      </c>
      <c r="E23" s="5">
        <f t="shared" si="1"/>
        <v>107217840.744</v>
      </c>
      <c r="F23" s="2">
        <v>44930</v>
      </c>
      <c r="G23" s="3" t="s">
        <v>336</v>
      </c>
      <c r="H23" t="s">
        <v>46</v>
      </c>
      <c r="I23" s="7">
        <v>49689</v>
      </c>
      <c r="J23" t="s">
        <v>20</v>
      </c>
      <c r="K23" s="12">
        <v>30000</v>
      </c>
      <c r="L23" t="s">
        <v>0</v>
      </c>
      <c r="M23" s="12">
        <v>444171</v>
      </c>
      <c r="N23" t="s">
        <v>1</v>
      </c>
      <c r="O23" s="12">
        <v>14.81</v>
      </c>
      <c r="P23" s="12">
        <v>82627.240000000005</v>
      </c>
      <c r="Q23" s="12">
        <v>2.75</v>
      </c>
    </row>
    <row r="24" spans="1:17" x14ac:dyDescent="0.2">
      <c r="A24" t="s">
        <v>29</v>
      </c>
      <c r="B24" t="s">
        <v>30</v>
      </c>
      <c r="C24" s="5">
        <v>51056115.359999999</v>
      </c>
      <c r="D24" s="2">
        <v>44930</v>
      </c>
      <c r="E24" s="5">
        <f t="shared" si="1"/>
        <v>107217842.256</v>
      </c>
      <c r="F24" s="2">
        <v>44930</v>
      </c>
      <c r="G24" s="3" t="s">
        <v>335</v>
      </c>
      <c r="H24" t="s">
        <v>45</v>
      </c>
      <c r="I24" s="7">
        <v>35334</v>
      </c>
      <c r="J24" t="s">
        <v>24</v>
      </c>
      <c r="K24" s="12">
        <v>6.9</v>
      </c>
      <c r="L24" t="s">
        <v>2</v>
      </c>
      <c r="M24" s="12">
        <v>92537.85</v>
      </c>
      <c r="N24" t="s">
        <v>1</v>
      </c>
      <c r="O24" s="12">
        <v>13411.28</v>
      </c>
      <c r="P24" s="12">
        <v>12533.52</v>
      </c>
      <c r="Q24" s="12">
        <v>1816.45</v>
      </c>
    </row>
    <row r="25" spans="1:17" x14ac:dyDescent="0.2">
      <c r="A25" t="s">
        <v>29</v>
      </c>
      <c r="B25" t="s">
        <v>30</v>
      </c>
      <c r="C25" s="5">
        <v>51056115.75</v>
      </c>
      <c r="D25" s="2">
        <v>44929</v>
      </c>
      <c r="E25" s="5">
        <f t="shared" si="1"/>
        <v>107217843.075</v>
      </c>
      <c r="F25" s="2">
        <v>44930</v>
      </c>
      <c r="G25" s="3" t="s">
        <v>337</v>
      </c>
      <c r="H25" t="s">
        <v>47</v>
      </c>
      <c r="I25" s="7">
        <v>49689</v>
      </c>
      <c r="J25" t="s">
        <v>20</v>
      </c>
      <c r="K25" s="12">
        <v>4200</v>
      </c>
      <c r="L25" t="s">
        <v>0</v>
      </c>
      <c r="M25" s="12">
        <v>70999.320000000007</v>
      </c>
      <c r="N25" t="s">
        <v>1</v>
      </c>
      <c r="O25" s="12">
        <v>16.899999999999999</v>
      </c>
      <c r="P25" s="12">
        <v>13207.7</v>
      </c>
      <c r="Q25" s="12">
        <v>3.14</v>
      </c>
    </row>
    <row r="26" spans="1:17" x14ac:dyDescent="0.2">
      <c r="A26" t="s">
        <v>29</v>
      </c>
      <c r="B26" t="s">
        <v>30</v>
      </c>
      <c r="C26" s="5">
        <v>51056116.020000003</v>
      </c>
      <c r="D26" s="2">
        <v>44909</v>
      </c>
      <c r="E26" s="5">
        <f t="shared" si="1"/>
        <v>107217843.642</v>
      </c>
      <c r="F26" s="2">
        <v>44930</v>
      </c>
      <c r="G26" s="3" t="s">
        <v>338</v>
      </c>
      <c r="H26" t="s">
        <v>48</v>
      </c>
      <c r="I26" s="7">
        <v>35333</v>
      </c>
      <c r="J26" t="s">
        <v>22</v>
      </c>
      <c r="K26" s="12">
        <v>2.08</v>
      </c>
      <c r="L26" t="s">
        <v>2</v>
      </c>
      <c r="M26" s="12">
        <v>27975.97</v>
      </c>
      <c r="N26" t="s">
        <v>1</v>
      </c>
      <c r="O26" s="12">
        <v>13449.99</v>
      </c>
      <c r="P26" s="12">
        <v>5204.25</v>
      </c>
      <c r="Q26" s="12">
        <v>2502.04</v>
      </c>
    </row>
    <row r="27" spans="1:17" x14ac:dyDescent="0.2">
      <c r="A27" t="s">
        <v>29</v>
      </c>
      <c r="B27" t="s">
        <v>30</v>
      </c>
      <c r="C27" s="5">
        <v>51056117.020000003</v>
      </c>
      <c r="D27" s="2">
        <v>44929</v>
      </c>
      <c r="E27" s="5">
        <f t="shared" si="1"/>
        <v>107217845.74200001</v>
      </c>
      <c r="F27" s="2">
        <v>44930</v>
      </c>
      <c r="G27" s="3" t="s">
        <v>339</v>
      </c>
      <c r="H27" t="s">
        <v>49</v>
      </c>
      <c r="I27" s="7">
        <v>49689</v>
      </c>
      <c r="J27" t="s">
        <v>20</v>
      </c>
      <c r="K27" s="12">
        <v>2390</v>
      </c>
      <c r="L27" t="s">
        <v>0</v>
      </c>
      <c r="M27" s="12">
        <v>39848.47</v>
      </c>
      <c r="N27" t="s">
        <v>1</v>
      </c>
      <c r="O27" s="12">
        <v>16.670000000000002</v>
      </c>
      <c r="P27" s="12">
        <v>7412.84</v>
      </c>
      <c r="Q27" s="12">
        <v>3.1</v>
      </c>
    </row>
    <row r="28" spans="1:17" x14ac:dyDescent="0.2">
      <c r="A28" t="s">
        <v>29</v>
      </c>
      <c r="B28" t="s">
        <v>30</v>
      </c>
      <c r="C28" s="5">
        <v>51056117.480000004</v>
      </c>
      <c r="D28" s="2">
        <v>44916</v>
      </c>
      <c r="E28" s="5">
        <f t="shared" si="1"/>
        <v>107217846.70800002</v>
      </c>
      <c r="F28" s="2">
        <v>44930</v>
      </c>
      <c r="G28" s="3" t="s">
        <v>324</v>
      </c>
      <c r="H28" t="s">
        <v>34</v>
      </c>
      <c r="I28" s="7">
        <v>49738</v>
      </c>
      <c r="J28" t="s">
        <v>21</v>
      </c>
      <c r="K28" s="12">
        <v>15000</v>
      </c>
      <c r="L28" t="s">
        <v>0</v>
      </c>
      <c r="M28" s="12">
        <v>172590</v>
      </c>
      <c r="N28" t="s">
        <v>1</v>
      </c>
      <c r="O28" s="12">
        <v>11.51</v>
      </c>
      <c r="P28" s="12">
        <v>32107.01</v>
      </c>
      <c r="Q28" s="12">
        <v>2.14</v>
      </c>
    </row>
    <row r="29" spans="1:17" x14ac:dyDescent="0.2">
      <c r="A29" t="s">
        <v>29</v>
      </c>
      <c r="B29" t="s">
        <v>30</v>
      </c>
      <c r="C29" s="5">
        <v>51056117.57</v>
      </c>
      <c r="D29" s="2">
        <v>44919</v>
      </c>
      <c r="E29" s="5">
        <f t="shared" si="1"/>
        <v>107217846.897</v>
      </c>
      <c r="F29" s="2">
        <v>44930</v>
      </c>
      <c r="G29" s="3" t="s">
        <v>340</v>
      </c>
      <c r="H29" t="s">
        <v>50</v>
      </c>
      <c r="I29" s="7">
        <v>35334</v>
      </c>
      <c r="J29" t="s">
        <v>24</v>
      </c>
      <c r="K29" s="12">
        <v>21.545000000000002</v>
      </c>
      <c r="L29" t="s">
        <v>2</v>
      </c>
      <c r="M29" s="12">
        <v>298812.99</v>
      </c>
      <c r="N29" t="s">
        <v>1</v>
      </c>
      <c r="O29" s="12">
        <v>13869.25</v>
      </c>
      <c r="P29" s="12">
        <v>55922.93</v>
      </c>
      <c r="Q29" s="12">
        <v>2595.63</v>
      </c>
    </row>
    <row r="30" spans="1:17" x14ac:dyDescent="0.2">
      <c r="A30" t="s">
        <v>29</v>
      </c>
      <c r="B30" t="s">
        <v>30</v>
      </c>
      <c r="C30" s="5">
        <v>51056117.57</v>
      </c>
      <c r="D30" s="2">
        <v>43591</v>
      </c>
      <c r="E30" s="5">
        <f>C30*2.123</f>
        <v>108392137.60111001</v>
      </c>
      <c r="F30" s="2">
        <v>44930</v>
      </c>
      <c r="G30" s="3" t="s">
        <v>340</v>
      </c>
      <c r="H30" t="s">
        <v>50</v>
      </c>
      <c r="I30" s="7">
        <v>35334</v>
      </c>
      <c r="J30" t="s">
        <v>24</v>
      </c>
      <c r="K30" s="12">
        <v>13.255000000000001</v>
      </c>
      <c r="L30" t="s">
        <v>2</v>
      </c>
      <c r="M30" s="12">
        <v>183837.24</v>
      </c>
      <c r="N30" t="s">
        <v>1</v>
      </c>
      <c r="O30" s="12">
        <v>13869.27</v>
      </c>
      <c r="P30" s="12">
        <v>15550.94</v>
      </c>
      <c r="Q30" s="12">
        <v>1173.21</v>
      </c>
    </row>
    <row r="31" spans="1:17" x14ac:dyDescent="0.2">
      <c r="A31" t="s">
        <v>29</v>
      </c>
      <c r="B31" t="s">
        <v>30</v>
      </c>
      <c r="C31" s="5">
        <v>51056118.32</v>
      </c>
      <c r="D31" s="2">
        <v>44918</v>
      </c>
      <c r="E31" s="5">
        <f t="shared" ref="E31:E62" si="2">C31*2.1</f>
        <v>107217848.472</v>
      </c>
      <c r="F31" s="2">
        <v>44930</v>
      </c>
      <c r="G31" s="3" t="s">
        <v>335</v>
      </c>
      <c r="H31" t="s">
        <v>45</v>
      </c>
      <c r="I31" s="7">
        <v>35334</v>
      </c>
      <c r="J31" t="s">
        <v>24</v>
      </c>
      <c r="K31" s="12">
        <v>15</v>
      </c>
      <c r="L31" t="s">
        <v>2</v>
      </c>
      <c r="M31" s="12">
        <v>211909.88</v>
      </c>
      <c r="N31" t="s">
        <v>1</v>
      </c>
      <c r="O31" s="12">
        <v>14127.33</v>
      </c>
      <c r="P31" s="12">
        <v>39658.71</v>
      </c>
      <c r="Q31" s="12">
        <v>2643.91</v>
      </c>
    </row>
    <row r="32" spans="1:17" x14ac:dyDescent="0.2">
      <c r="A32" t="s">
        <v>29</v>
      </c>
      <c r="B32" t="s">
        <v>30</v>
      </c>
      <c r="C32" s="5">
        <v>51056118.340000004</v>
      </c>
      <c r="D32" s="2">
        <v>44929</v>
      </c>
      <c r="E32" s="5">
        <f t="shared" si="2"/>
        <v>107217848.51400001</v>
      </c>
      <c r="F32" s="2">
        <v>44930</v>
      </c>
      <c r="G32" s="3" t="s">
        <v>341</v>
      </c>
      <c r="H32" t="s">
        <v>51</v>
      </c>
      <c r="I32" s="7">
        <v>49689</v>
      </c>
      <c r="J32" t="s">
        <v>20</v>
      </c>
      <c r="K32" s="12">
        <v>15000</v>
      </c>
      <c r="L32" t="s">
        <v>0</v>
      </c>
      <c r="M32" s="12">
        <v>247522.5</v>
      </c>
      <c r="N32" t="s">
        <v>1</v>
      </c>
      <c r="O32" s="12">
        <v>16.5</v>
      </c>
      <c r="P32" s="12">
        <v>46041.53</v>
      </c>
      <c r="Q32" s="12">
        <v>3.07</v>
      </c>
    </row>
    <row r="33" spans="1:17" x14ac:dyDescent="0.2">
      <c r="A33" t="s">
        <v>29</v>
      </c>
      <c r="B33" t="s">
        <v>30</v>
      </c>
      <c r="C33" s="5">
        <v>51056118.350000001</v>
      </c>
      <c r="D33" s="2">
        <v>44917</v>
      </c>
      <c r="E33" s="5">
        <f t="shared" si="2"/>
        <v>107217848.53500001</v>
      </c>
      <c r="F33" s="2">
        <v>44930</v>
      </c>
      <c r="G33" s="3" t="s">
        <v>342</v>
      </c>
      <c r="H33" t="s">
        <v>52</v>
      </c>
      <c r="I33" s="7">
        <v>35334</v>
      </c>
      <c r="J33" t="s">
        <v>24</v>
      </c>
      <c r="K33" s="12">
        <v>3</v>
      </c>
      <c r="L33" t="s">
        <v>2</v>
      </c>
      <c r="M33" s="12">
        <v>43339.93</v>
      </c>
      <c r="N33" t="s">
        <v>1</v>
      </c>
      <c r="O33" s="12">
        <v>14446.64</v>
      </c>
      <c r="P33" s="12">
        <v>8112.77</v>
      </c>
      <c r="Q33" s="12">
        <v>2704.26</v>
      </c>
    </row>
    <row r="34" spans="1:17" x14ac:dyDescent="0.2">
      <c r="A34" t="s">
        <v>29</v>
      </c>
      <c r="B34" t="s">
        <v>30</v>
      </c>
      <c r="C34" s="5">
        <v>51056118.390000001</v>
      </c>
      <c r="D34" s="2">
        <v>44929</v>
      </c>
      <c r="E34" s="5">
        <f t="shared" si="2"/>
        <v>107217848.619</v>
      </c>
      <c r="F34" s="2">
        <v>44930</v>
      </c>
      <c r="G34" s="3" t="s">
        <v>343</v>
      </c>
      <c r="H34" t="s">
        <v>53</v>
      </c>
      <c r="I34" s="7">
        <v>49689</v>
      </c>
      <c r="J34" t="s">
        <v>20</v>
      </c>
      <c r="K34" s="12">
        <v>3950</v>
      </c>
      <c r="L34" t="s">
        <v>0</v>
      </c>
      <c r="M34" s="12">
        <v>68479.570000000007</v>
      </c>
      <c r="N34" t="s">
        <v>1</v>
      </c>
      <c r="O34" s="12">
        <v>17.34</v>
      </c>
      <c r="P34" s="12">
        <v>12738.96</v>
      </c>
      <c r="Q34" s="12">
        <v>3.23</v>
      </c>
    </row>
    <row r="35" spans="1:17" x14ac:dyDescent="0.2">
      <c r="A35" t="s">
        <v>29</v>
      </c>
      <c r="B35" t="s">
        <v>30</v>
      </c>
      <c r="C35" s="5">
        <v>51056119.030000001</v>
      </c>
      <c r="D35" s="2">
        <v>44929</v>
      </c>
      <c r="E35" s="5">
        <f t="shared" si="2"/>
        <v>107217849.96300001</v>
      </c>
      <c r="F35" s="2">
        <v>44930</v>
      </c>
      <c r="G35" s="3" t="s">
        <v>344</v>
      </c>
      <c r="H35" t="s">
        <v>54</v>
      </c>
      <c r="I35" s="7">
        <v>49689</v>
      </c>
      <c r="J35" t="s">
        <v>20</v>
      </c>
      <c r="K35" s="12">
        <v>3000</v>
      </c>
      <c r="L35" t="s">
        <v>0</v>
      </c>
      <c r="M35" s="12">
        <v>51979.5</v>
      </c>
      <c r="N35" t="s">
        <v>1</v>
      </c>
      <c r="O35" s="12">
        <v>17.329999999999998</v>
      </c>
      <c r="P35" s="12">
        <v>9669.5300000000007</v>
      </c>
      <c r="Q35" s="12">
        <v>3.22</v>
      </c>
    </row>
    <row r="36" spans="1:17" x14ac:dyDescent="0.2">
      <c r="A36" t="s">
        <v>29</v>
      </c>
      <c r="B36" t="s">
        <v>30</v>
      </c>
      <c r="C36" s="5">
        <v>51056119.07</v>
      </c>
      <c r="D36" s="2">
        <v>44888</v>
      </c>
      <c r="E36" s="5">
        <f t="shared" si="2"/>
        <v>107217850.04700001</v>
      </c>
      <c r="F36" s="2">
        <v>44930</v>
      </c>
      <c r="G36" s="3" t="s">
        <v>345</v>
      </c>
      <c r="H36" t="s">
        <v>55</v>
      </c>
      <c r="I36" s="7">
        <v>49689</v>
      </c>
      <c r="J36" t="s">
        <v>20</v>
      </c>
      <c r="K36" s="12">
        <v>132000</v>
      </c>
      <c r="L36" t="s">
        <v>0</v>
      </c>
      <c r="M36" s="12">
        <v>2286266.4</v>
      </c>
      <c r="N36" t="s">
        <v>1</v>
      </c>
      <c r="O36" s="12">
        <v>17.32</v>
      </c>
      <c r="P36" s="12">
        <v>425304.41</v>
      </c>
      <c r="Q36" s="12">
        <v>3.22</v>
      </c>
    </row>
    <row r="37" spans="1:17" x14ac:dyDescent="0.2">
      <c r="A37" t="s">
        <v>29</v>
      </c>
      <c r="B37" t="s">
        <v>30</v>
      </c>
      <c r="C37" s="5">
        <v>51056119.079999998</v>
      </c>
      <c r="D37" s="2">
        <v>44929</v>
      </c>
      <c r="E37" s="5">
        <f t="shared" si="2"/>
        <v>107217850.068</v>
      </c>
      <c r="F37" s="2">
        <v>44930</v>
      </c>
      <c r="G37" s="3" t="s">
        <v>346</v>
      </c>
      <c r="H37" t="s">
        <v>56</v>
      </c>
      <c r="I37" s="7">
        <v>49689</v>
      </c>
      <c r="J37" t="s">
        <v>20</v>
      </c>
      <c r="K37" s="12">
        <v>3600</v>
      </c>
      <c r="L37" t="s">
        <v>0</v>
      </c>
      <c r="M37" s="12">
        <v>58728.959999999999</v>
      </c>
      <c r="N37" t="s">
        <v>1</v>
      </c>
      <c r="O37" s="12">
        <v>16.309999999999999</v>
      </c>
      <c r="P37" s="12">
        <v>10925.1</v>
      </c>
      <c r="Q37" s="12">
        <v>3.03</v>
      </c>
    </row>
    <row r="38" spans="1:17" x14ac:dyDescent="0.2">
      <c r="A38" t="s">
        <v>29</v>
      </c>
      <c r="B38" t="s">
        <v>30</v>
      </c>
      <c r="C38" s="5">
        <v>51056119.280000001</v>
      </c>
      <c r="D38" s="2">
        <v>44923</v>
      </c>
      <c r="E38" s="5">
        <f t="shared" si="2"/>
        <v>107217850.48800001</v>
      </c>
      <c r="F38" s="2">
        <v>44930</v>
      </c>
      <c r="G38" s="3" t="s">
        <v>347</v>
      </c>
      <c r="H38" t="s">
        <v>57</v>
      </c>
      <c r="I38" s="7">
        <v>35334</v>
      </c>
      <c r="J38" t="s">
        <v>24</v>
      </c>
      <c r="K38" s="12">
        <v>3</v>
      </c>
      <c r="L38" t="s">
        <v>2</v>
      </c>
      <c r="M38" s="12">
        <v>42381.98</v>
      </c>
      <c r="N38" t="s">
        <v>1</v>
      </c>
      <c r="O38" s="12">
        <v>14127.33</v>
      </c>
      <c r="P38" s="12">
        <v>7884.14</v>
      </c>
      <c r="Q38" s="12">
        <v>2628.05</v>
      </c>
    </row>
    <row r="39" spans="1:17" x14ac:dyDescent="0.2">
      <c r="A39" t="s">
        <v>29</v>
      </c>
      <c r="B39" t="s">
        <v>30</v>
      </c>
      <c r="C39" s="5">
        <v>51056119.32</v>
      </c>
      <c r="D39" s="2">
        <v>44888</v>
      </c>
      <c r="E39" s="5">
        <f t="shared" si="2"/>
        <v>107217850.57200001</v>
      </c>
      <c r="F39" s="2">
        <v>44930</v>
      </c>
      <c r="G39" s="3" t="s">
        <v>348</v>
      </c>
      <c r="H39" t="s">
        <v>55</v>
      </c>
      <c r="I39" s="7">
        <v>49689</v>
      </c>
      <c r="J39" t="s">
        <v>20</v>
      </c>
      <c r="K39" s="12">
        <v>42000</v>
      </c>
      <c r="L39" t="s">
        <v>0</v>
      </c>
      <c r="M39" s="12">
        <v>683984</v>
      </c>
      <c r="N39" t="s">
        <v>1</v>
      </c>
      <c r="O39" s="12">
        <v>16.29</v>
      </c>
      <c r="P39" s="12">
        <v>127238.63</v>
      </c>
      <c r="Q39" s="12">
        <v>3.03</v>
      </c>
    </row>
    <row r="40" spans="1:17" x14ac:dyDescent="0.2">
      <c r="A40" t="s">
        <v>29</v>
      </c>
      <c r="B40" t="s">
        <v>30</v>
      </c>
      <c r="C40" s="5">
        <v>51056120.340000004</v>
      </c>
      <c r="D40" s="2">
        <v>44930</v>
      </c>
      <c r="E40" s="5">
        <f t="shared" si="2"/>
        <v>107217852.71400002</v>
      </c>
      <c r="F40" s="2">
        <v>44930</v>
      </c>
      <c r="G40" s="3" t="s">
        <v>349</v>
      </c>
      <c r="H40" t="s">
        <v>58</v>
      </c>
      <c r="I40" s="7">
        <v>35334</v>
      </c>
      <c r="J40" t="s">
        <v>24</v>
      </c>
      <c r="K40" s="12">
        <v>22.98</v>
      </c>
      <c r="L40" t="s">
        <v>2</v>
      </c>
      <c r="M40" s="12">
        <v>311304.32000000001</v>
      </c>
      <c r="N40" t="s">
        <v>1</v>
      </c>
      <c r="O40" s="12">
        <v>13546.75</v>
      </c>
      <c r="P40" s="12">
        <v>53308.74</v>
      </c>
      <c r="Q40" s="12">
        <v>2319.79</v>
      </c>
    </row>
    <row r="41" spans="1:17" x14ac:dyDescent="0.2">
      <c r="A41" t="s">
        <v>29</v>
      </c>
      <c r="B41" t="s">
        <v>30</v>
      </c>
      <c r="C41" s="5">
        <v>51056120.359999999</v>
      </c>
      <c r="D41" s="2">
        <v>44919</v>
      </c>
      <c r="E41" s="5">
        <f t="shared" si="2"/>
        <v>107217852.756</v>
      </c>
      <c r="F41" s="2">
        <v>44930</v>
      </c>
      <c r="G41" s="3" t="s">
        <v>350</v>
      </c>
      <c r="H41" t="s">
        <v>59</v>
      </c>
      <c r="I41" s="7">
        <v>35334</v>
      </c>
      <c r="J41" t="s">
        <v>24</v>
      </c>
      <c r="K41" s="12">
        <v>30</v>
      </c>
      <c r="L41" t="s">
        <v>2</v>
      </c>
      <c r="M41" s="12">
        <v>425755</v>
      </c>
      <c r="N41" t="s">
        <v>1</v>
      </c>
      <c r="O41" s="12">
        <v>14191.83</v>
      </c>
      <c r="P41" s="12">
        <v>79672.47</v>
      </c>
      <c r="Q41" s="12">
        <v>2655.75</v>
      </c>
    </row>
    <row r="42" spans="1:17" x14ac:dyDescent="0.2">
      <c r="A42" t="s">
        <v>29</v>
      </c>
      <c r="B42" t="s">
        <v>30</v>
      </c>
      <c r="C42" s="5">
        <v>51056122.329999998</v>
      </c>
      <c r="D42" s="2">
        <v>44929</v>
      </c>
      <c r="E42" s="5">
        <f t="shared" si="2"/>
        <v>107217856.89300001</v>
      </c>
      <c r="F42" s="2">
        <v>44930</v>
      </c>
      <c r="G42" s="3" t="s">
        <v>351</v>
      </c>
      <c r="H42" t="s">
        <v>60</v>
      </c>
      <c r="I42" s="7">
        <v>49689</v>
      </c>
      <c r="J42" t="s">
        <v>20</v>
      </c>
      <c r="K42" s="12">
        <v>9000</v>
      </c>
      <c r="L42" t="s">
        <v>0</v>
      </c>
      <c r="M42" s="12">
        <v>129688.5</v>
      </c>
      <c r="N42" t="s">
        <v>1</v>
      </c>
      <c r="O42" s="12">
        <v>14.41</v>
      </c>
      <c r="P42" s="12">
        <v>24125.68</v>
      </c>
      <c r="Q42" s="12">
        <v>2.68</v>
      </c>
    </row>
    <row r="43" spans="1:17" x14ac:dyDescent="0.2">
      <c r="A43" t="s">
        <v>29</v>
      </c>
      <c r="B43" t="s">
        <v>30</v>
      </c>
      <c r="C43" s="5">
        <v>51056124.539999999</v>
      </c>
      <c r="D43" s="2">
        <v>44931</v>
      </c>
      <c r="E43" s="5">
        <f t="shared" si="2"/>
        <v>107217861.53400001</v>
      </c>
      <c r="F43" s="2">
        <v>44930</v>
      </c>
      <c r="G43" s="3" t="s">
        <v>338</v>
      </c>
      <c r="H43" t="s">
        <v>48</v>
      </c>
      <c r="I43" s="7">
        <v>35333</v>
      </c>
      <c r="J43" t="s">
        <v>22</v>
      </c>
      <c r="K43" s="12">
        <v>2.8</v>
      </c>
      <c r="L43" t="s">
        <v>2</v>
      </c>
      <c r="M43" s="12">
        <v>37930.9</v>
      </c>
      <c r="N43" t="s">
        <v>1</v>
      </c>
      <c r="O43" s="12">
        <v>13546.75</v>
      </c>
      <c r="P43" s="12">
        <v>7056.13</v>
      </c>
      <c r="Q43" s="12">
        <v>2520.0500000000002</v>
      </c>
    </row>
    <row r="44" spans="1:17" x14ac:dyDescent="0.2">
      <c r="A44" t="s">
        <v>29</v>
      </c>
      <c r="B44" t="s">
        <v>30</v>
      </c>
      <c r="C44" s="5">
        <v>51056124.75</v>
      </c>
      <c r="D44" s="2">
        <v>44919</v>
      </c>
      <c r="E44" s="5">
        <f t="shared" si="2"/>
        <v>107217861.97500001</v>
      </c>
      <c r="F44" s="2">
        <v>44930</v>
      </c>
      <c r="G44" s="3" t="s">
        <v>352</v>
      </c>
      <c r="H44" t="s">
        <v>61</v>
      </c>
      <c r="I44" s="7">
        <v>35334</v>
      </c>
      <c r="J44" t="s">
        <v>24</v>
      </c>
      <c r="K44" s="12">
        <v>5.0999999999999996</v>
      </c>
      <c r="L44" t="s">
        <v>2</v>
      </c>
      <c r="M44" s="12">
        <v>70420.84</v>
      </c>
      <c r="N44" t="s">
        <v>1</v>
      </c>
      <c r="O44" s="12">
        <v>13808.01</v>
      </c>
      <c r="P44" s="12">
        <v>13097.03</v>
      </c>
      <c r="Q44" s="12">
        <v>2568.0500000000002</v>
      </c>
    </row>
    <row r="45" spans="1:17" x14ac:dyDescent="0.2">
      <c r="A45" t="s">
        <v>29</v>
      </c>
      <c r="B45" t="s">
        <v>30</v>
      </c>
      <c r="C45" s="5">
        <v>51056124.840000004</v>
      </c>
      <c r="D45" s="2">
        <v>44930</v>
      </c>
      <c r="E45" s="5">
        <f t="shared" si="2"/>
        <v>107217862.16400002</v>
      </c>
      <c r="F45" s="2">
        <v>44930</v>
      </c>
      <c r="G45" s="3" t="s">
        <v>353</v>
      </c>
      <c r="H45" t="s">
        <v>62</v>
      </c>
      <c r="I45" s="7">
        <v>49689</v>
      </c>
      <c r="J45" t="s">
        <v>20</v>
      </c>
      <c r="K45" s="12">
        <v>2697.8</v>
      </c>
      <c r="L45" t="s">
        <v>0</v>
      </c>
      <c r="M45" s="12">
        <v>45457.93</v>
      </c>
      <c r="N45" t="s">
        <v>1</v>
      </c>
      <c r="O45" s="12">
        <v>16.850000000000001</v>
      </c>
      <c r="P45" s="12">
        <v>8456.35</v>
      </c>
      <c r="Q45" s="12">
        <v>3.13</v>
      </c>
    </row>
    <row r="46" spans="1:17" x14ac:dyDescent="0.2">
      <c r="A46" t="s">
        <v>29</v>
      </c>
      <c r="B46" t="s">
        <v>30</v>
      </c>
      <c r="C46" s="5">
        <v>51056133.18</v>
      </c>
      <c r="D46" s="2">
        <v>44930</v>
      </c>
      <c r="E46" s="5">
        <f t="shared" si="2"/>
        <v>107217879.678</v>
      </c>
      <c r="F46" s="2">
        <v>44931</v>
      </c>
      <c r="G46" s="3" t="s">
        <v>354</v>
      </c>
      <c r="H46" t="s">
        <v>63</v>
      </c>
      <c r="I46" s="7">
        <v>49689</v>
      </c>
      <c r="J46" t="s">
        <v>20</v>
      </c>
      <c r="K46" s="12">
        <v>30000</v>
      </c>
      <c r="L46" t="s">
        <v>0</v>
      </c>
      <c r="M46" s="12">
        <v>428370</v>
      </c>
      <c r="N46" t="s">
        <v>1</v>
      </c>
      <c r="O46" s="12">
        <v>14.28</v>
      </c>
      <c r="P46" s="12">
        <v>79687.850000000006</v>
      </c>
      <c r="Q46" s="12">
        <v>2.66</v>
      </c>
    </row>
    <row r="47" spans="1:17" x14ac:dyDescent="0.2">
      <c r="A47" t="s">
        <v>29</v>
      </c>
      <c r="B47" t="s">
        <v>30</v>
      </c>
      <c r="C47" s="5">
        <v>51056134.899999999</v>
      </c>
      <c r="D47" s="2">
        <v>44929</v>
      </c>
      <c r="E47" s="5">
        <f t="shared" si="2"/>
        <v>107217883.29000001</v>
      </c>
      <c r="F47" s="2">
        <v>44931</v>
      </c>
      <c r="G47" s="3" t="s">
        <v>355</v>
      </c>
      <c r="H47" t="s">
        <v>64</v>
      </c>
      <c r="I47" s="7">
        <v>49689</v>
      </c>
      <c r="J47" t="s">
        <v>20</v>
      </c>
      <c r="K47" s="12">
        <v>2160</v>
      </c>
      <c r="L47" t="s">
        <v>0</v>
      </c>
      <c r="M47" s="12">
        <v>35157.96</v>
      </c>
      <c r="N47" t="s">
        <v>1</v>
      </c>
      <c r="O47" s="12">
        <v>16.28</v>
      </c>
      <c r="P47" s="12">
        <v>6540.29</v>
      </c>
      <c r="Q47" s="12">
        <v>3.03</v>
      </c>
    </row>
    <row r="48" spans="1:17" x14ac:dyDescent="0.2">
      <c r="A48" t="s">
        <v>29</v>
      </c>
      <c r="B48" t="s">
        <v>30</v>
      </c>
      <c r="C48" s="5">
        <v>51056135.810000002</v>
      </c>
      <c r="D48" s="2">
        <v>44930</v>
      </c>
      <c r="E48" s="5">
        <f t="shared" si="2"/>
        <v>107217885.20100001</v>
      </c>
      <c r="F48" s="2">
        <v>44931</v>
      </c>
      <c r="G48" s="3" t="s">
        <v>356</v>
      </c>
      <c r="H48" t="s">
        <v>65</v>
      </c>
      <c r="I48" s="7">
        <v>49689</v>
      </c>
      <c r="J48" t="s">
        <v>20</v>
      </c>
      <c r="K48" s="12">
        <v>8371</v>
      </c>
      <c r="L48" t="s">
        <v>0</v>
      </c>
      <c r="M48" s="12">
        <v>123112.3</v>
      </c>
      <c r="N48" t="s">
        <v>1</v>
      </c>
      <c r="O48" s="12">
        <v>14.71</v>
      </c>
      <c r="P48" s="12">
        <v>22902.06</v>
      </c>
      <c r="Q48" s="12">
        <v>2.74</v>
      </c>
    </row>
    <row r="49" spans="1:17" x14ac:dyDescent="0.2">
      <c r="A49" t="s">
        <v>29</v>
      </c>
      <c r="B49" t="s">
        <v>30</v>
      </c>
      <c r="C49" s="5">
        <v>51056135.82</v>
      </c>
      <c r="D49" s="2">
        <v>44930</v>
      </c>
      <c r="E49" s="5">
        <f t="shared" si="2"/>
        <v>107217885.222</v>
      </c>
      <c r="F49" s="2">
        <v>44931</v>
      </c>
      <c r="G49" s="3" t="s">
        <v>356</v>
      </c>
      <c r="H49" t="s">
        <v>65</v>
      </c>
      <c r="I49" s="7">
        <v>49689</v>
      </c>
      <c r="J49" t="s">
        <v>20</v>
      </c>
      <c r="K49" s="12">
        <v>10733</v>
      </c>
      <c r="L49" t="s">
        <v>0</v>
      </c>
      <c r="M49" s="12">
        <v>157850.23000000001</v>
      </c>
      <c r="N49" t="s">
        <v>1</v>
      </c>
      <c r="O49" s="12">
        <v>14.71</v>
      </c>
      <c r="P49" s="12">
        <v>29364.21</v>
      </c>
      <c r="Q49" s="12">
        <v>2.74</v>
      </c>
    </row>
    <row r="50" spans="1:17" x14ac:dyDescent="0.2">
      <c r="A50" t="s">
        <v>29</v>
      </c>
      <c r="B50" t="s">
        <v>30</v>
      </c>
      <c r="C50" s="5">
        <v>51056135.850000001</v>
      </c>
      <c r="D50" s="2">
        <v>44930</v>
      </c>
      <c r="E50" s="5">
        <f t="shared" si="2"/>
        <v>107217885.28500001</v>
      </c>
      <c r="F50" s="2">
        <v>44931</v>
      </c>
      <c r="G50" s="3" t="s">
        <v>356</v>
      </c>
      <c r="H50" t="s">
        <v>65</v>
      </c>
      <c r="I50" s="7">
        <v>49689</v>
      </c>
      <c r="J50" t="s">
        <v>20</v>
      </c>
      <c r="K50" s="12">
        <v>3995</v>
      </c>
      <c r="L50" t="s">
        <v>0</v>
      </c>
      <c r="M50" s="12">
        <v>55967.95</v>
      </c>
      <c r="N50" t="s">
        <v>1</v>
      </c>
      <c r="O50" s="12">
        <v>14.01</v>
      </c>
      <c r="P50" s="12">
        <v>10411.48</v>
      </c>
      <c r="Q50" s="12">
        <v>2.61</v>
      </c>
    </row>
    <row r="51" spans="1:17" x14ac:dyDescent="0.2">
      <c r="A51" t="s">
        <v>29</v>
      </c>
      <c r="B51" t="s">
        <v>30</v>
      </c>
      <c r="C51" s="5">
        <v>51056136.050000004</v>
      </c>
      <c r="D51" s="2">
        <v>44930</v>
      </c>
      <c r="E51" s="5">
        <f t="shared" si="2"/>
        <v>107217885.70500001</v>
      </c>
      <c r="F51" s="2">
        <v>44931</v>
      </c>
      <c r="G51" s="3" t="s">
        <v>357</v>
      </c>
      <c r="H51" t="s">
        <v>66</v>
      </c>
      <c r="I51" s="7">
        <v>49689</v>
      </c>
      <c r="J51" t="s">
        <v>20</v>
      </c>
      <c r="K51" s="12">
        <v>2417</v>
      </c>
      <c r="L51" t="s">
        <v>0</v>
      </c>
      <c r="M51" s="12">
        <v>39493.300000000003</v>
      </c>
      <c r="N51" t="s">
        <v>1</v>
      </c>
      <c r="O51" s="12">
        <v>16.34</v>
      </c>
      <c r="P51" s="12">
        <v>7346.77</v>
      </c>
      <c r="Q51" s="12">
        <v>3.04</v>
      </c>
    </row>
    <row r="52" spans="1:17" x14ac:dyDescent="0.2">
      <c r="A52" t="s">
        <v>29</v>
      </c>
      <c r="B52" t="s">
        <v>30</v>
      </c>
      <c r="C52" s="5">
        <v>51056136.420000002</v>
      </c>
      <c r="D52" s="2">
        <v>44931</v>
      </c>
      <c r="E52" s="5">
        <f t="shared" si="2"/>
        <v>107217886.48200001</v>
      </c>
      <c r="F52" s="2">
        <v>44931</v>
      </c>
      <c r="G52" s="3" t="s">
        <v>358</v>
      </c>
      <c r="H52" t="s">
        <v>67</v>
      </c>
      <c r="I52" s="7">
        <v>35334</v>
      </c>
      <c r="J52" t="s">
        <v>24</v>
      </c>
      <c r="K52" s="12">
        <v>4.5599999999999996</v>
      </c>
      <c r="L52" t="s">
        <v>2</v>
      </c>
      <c r="M52" s="12">
        <v>63096.89</v>
      </c>
      <c r="N52" t="s">
        <v>1</v>
      </c>
      <c r="O52" s="12">
        <v>13837.04</v>
      </c>
      <c r="P52" s="12">
        <v>11381.98</v>
      </c>
      <c r="Q52" s="12">
        <v>2496.0500000000002</v>
      </c>
    </row>
    <row r="53" spans="1:17" x14ac:dyDescent="0.2">
      <c r="A53" t="s">
        <v>29</v>
      </c>
      <c r="B53" t="s">
        <v>30</v>
      </c>
      <c r="C53" s="5">
        <v>51056136.439999998</v>
      </c>
      <c r="D53" s="2">
        <v>44923</v>
      </c>
      <c r="E53" s="5">
        <f t="shared" si="2"/>
        <v>107217886.524</v>
      </c>
      <c r="F53" s="2">
        <v>44931</v>
      </c>
      <c r="G53" s="3" t="s">
        <v>326</v>
      </c>
      <c r="H53" t="s">
        <v>36</v>
      </c>
      <c r="I53" s="7">
        <v>35333</v>
      </c>
      <c r="J53" t="s">
        <v>22</v>
      </c>
      <c r="K53" s="12">
        <v>4</v>
      </c>
      <c r="L53" t="s">
        <v>2</v>
      </c>
      <c r="M53" s="12">
        <v>56122.25</v>
      </c>
      <c r="N53" t="s">
        <v>1</v>
      </c>
      <c r="O53" s="12">
        <v>14030.56</v>
      </c>
      <c r="P53" s="12">
        <v>10440.18</v>
      </c>
      <c r="Q53" s="12">
        <v>2610.0500000000002</v>
      </c>
    </row>
    <row r="54" spans="1:17" x14ac:dyDescent="0.2">
      <c r="A54" t="s">
        <v>29</v>
      </c>
      <c r="B54" t="s">
        <v>30</v>
      </c>
      <c r="C54" s="5">
        <v>51056137.07</v>
      </c>
      <c r="D54" s="2">
        <v>44911</v>
      </c>
      <c r="E54" s="5">
        <f t="shared" si="2"/>
        <v>107217887.847</v>
      </c>
      <c r="F54" s="2">
        <v>44931</v>
      </c>
      <c r="G54" s="3" t="s">
        <v>359</v>
      </c>
      <c r="H54" t="s">
        <v>68</v>
      </c>
      <c r="I54" s="7">
        <v>49689</v>
      </c>
      <c r="J54" t="s">
        <v>20</v>
      </c>
      <c r="K54" s="12">
        <v>4930</v>
      </c>
      <c r="L54" t="s">
        <v>0</v>
      </c>
      <c r="M54" s="12">
        <v>84644.160000000003</v>
      </c>
      <c r="N54" t="s">
        <v>1</v>
      </c>
      <c r="O54" s="12">
        <v>17.170000000000002</v>
      </c>
      <c r="P54" s="12">
        <v>15745.99</v>
      </c>
      <c r="Q54" s="12">
        <v>3.19</v>
      </c>
    </row>
    <row r="55" spans="1:17" x14ac:dyDescent="0.2">
      <c r="A55" t="s">
        <v>29</v>
      </c>
      <c r="B55" t="s">
        <v>30</v>
      </c>
      <c r="C55" s="5">
        <v>51056137.090000004</v>
      </c>
      <c r="D55" s="2">
        <v>44911</v>
      </c>
      <c r="E55" s="5">
        <f t="shared" si="2"/>
        <v>107217887.88900001</v>
      </c>
      <c r="F55" s="2">
        <v>44931</v>
      </c>
      <c r="G55" s="3" t="s">
        <v>359</v>
      </c>
      <c r="H55" t="s">
        <v>68</v>
      </c>
      <c r="I55" s="7">
        <v>49689</v>
      </c>
      <c r="J55" t="s">
        <v>20</v>
      </c>
      <c r="K55" s="12">
        <v>2000</v>
      </c>
      <c r="L55" t="s">
        <v>0</v>
      </c>
      <c r="M55" s="12">
        <v>33333.199999999997</v>
      </c>
      <c r="N55" t="s">
        <v>1</v>
      </c>
      <c r="O55" s="12">
        <v>16.670000000000002</v>
      </c>
      <c r="P55" s="12">
        <v>6200.83</v>
      </c>
      <c r="Q55" s="12">
        <v>3.1</v>
      </c>
    </row>
    <row r="56" spans="1:17" x14ac:dyDescent="0.2">
      <c r="A56" t="s">
        <v>29</v>
      </c>
      <c r="B56" t="s">
        <v>30</v>
      </c>
      <c r="C56" s="5">
        <v>51056139.68</v>
      </c>
      <c r="D56" s="2">
        <v>44923</v>
      </c>
      <c r="E56" s="5">
        <f t="shared" si="2"/>
        <v>107217893.32800001</v>
      </c>
      <c r="F56" s="2">
        <v>44931</v>
      </c>
      <c r="G56" s="3" t="s">
        <v>326</v>
      </c>
      <c r="H56" t="s">
        <v>36</v>
      </c>
      <c r="I56" s="7">
        <v>35333</v>
      </c>
      <c r="J56" t="s">
        <v>22</v>
      </c>
      <c r="K56" s="12">
        <v>2.4630000000000001</v>
      </c>
      <c r="L56" t="s">
        <v>2</v>
      </c>
      <c r="M56" s="12">
        <v>34557.269999999997</v>
      </c>
      <c r="N56" t="s">
        <v>1</v>
      </c>
      <c r="O56" s="12">
        <v>14030.56</v>
      </c>
      <c r="P56" s="12">
        <v>6428.54</v>
      </c>
      <c r="Q56" s="12">
        <v>2610.04</v>
      </c>
    </row>
    <row r="57" spans="1:17" x14ac:dyDescent="0.2">
      <c r="A57" t="s">
        <v>29</v>
      </c>
      <c r="B57" t="s">
        <v>30</v>
      </c>
      <c r="C57" s="5">
        <v>51056144.170000002</v>
      </c>
      <c r="D57" s="2">
        <v>44931</v>
      </c>
      <c r="E57" s="5">
        <f t="shared" si="2"/>
        <v>107217902.75700001</v>
      </c>
      <c r="F57" s="2">
        <v>44931</v>
      </c>
      <c r="G57" s="3" t="s">
        <v>360</v>
      </c>
      <c r="H57" t="s">
        <v>69</v>
      </c>
      <c r="I57" s="7">
        <v>49738</v>
      </c>
      <c r="J57" t="s">
        <v>21</v>
      </c>
      <c r="K57" s="12">
        <v>6000</v>
      </c>
      <c r="L57" t="s">
        <v>0</v>
      </c>
      <c r="M57" s="12">
        <v>55728</v>
      </c>
      <c r="N57" t="s">
        <v>1</v>
      </c>
      <c r="O57" s="12">
        <v>9.2899999999999991</v>
      </c>
      <c r="P57" s="12">
        <v>10233.58</v>
      </c>
      <c r="Q57" s="12">
        <v>1.71</v>
      </c>
    </row>
    <row r="58" spans="1:17" x14ac:dyDescent="0.2">
      <c r="A58" t="s">
        <v>29</v>
      </c>
      <c r="B58" t="s">
        <v>30</v>
      </c>
      <c r="C58" s="5">
        <v>51056145.740000002</v>
      </c>
      <c r="D58" s="2">
        <v>44929</v>
      </c>
      <c r="E58" s="5">
        <f t="shared" si="2"/>
        <v>107217906.05400001</v>
      </c>
      <c r="F58" s="2">
        <v>44931</v>
      </c>
      <c r="G58" s="3" t="s">
        <v>361</v>
      </c>
      <c r="H58" t="s">
        <v>70</v>
      </c>
      <c r="I58" s="7">
        <v>49731</v>
      </c>
      <c r="J58" t="s">
        <v>23</v>
      </c>
      <c r="K58" s="12">
        <v>3000</v>
      </c>
      <c r="L58" t="s">
        <v>0</v>
      </c>
      <c r="M58" s="12">
        <v>52064.1</v>
      </c>
      <c r="N58" t="s">
        <v>1</v>
      </c>
      <c r="O58" s="12">
        <v>17.350000000000001</v>
      </c>
      <c r="P58" s="12">
        <v>9560.76</v>
      </c>
      <c r="Q58" s="12">
        <v>3.19</v>
      </c>
    </row>
    <row r="59" spans="1:17" x14ac:dyDescent="0.2">
      <c r="A59" t="s">
        <v>29</v>
      </c>
      <c r="B59" t="s">
        <v>30</v>
      </c>
      <c r="C59" s="5">
        <v>51056145.980000004</v>
      </c>
      <c r="D59" s="2">
        <v>44929</v>
      </c>
      <c r="E59" s="5">
        <f t="shared" si="2"/>
        <v>107217906.55800001</v>
      </c>
      <c r="F59" s="2">
        <v>44931</v>
      </c>
      <c r="G59" s="3" t="s">
        <v>362</v>
      </c>
      <c r="H59" t="s">
        <v>71</v>
      </c>
      <c r="I59" s="7">
        <v>49731</v>
      </c>
      <c r="J59" t="s">
        <v>23</v>
      </c>
      <c r="K59" s="12">
        <v>7200</v>
      </c>
      <c r="L59" t="s">
        <v>0</v>
      </c>
      <c r="M59" s="12">
        <v>162378</v>
      </c>
      <c r="N59" t="s">
        <v>1</v>
      </c>
      <c r="O59" s="12">
        <v>22.55</v>
      </c>
      <c r="P59" s="12">
        <v>29818.2</v>
      </c>
      <c r="Q59" s="12">
        <v>4.1399999999999997</v>
      </c>
    </row>
    <row r="60" spans="1:17" x14ac:dyDescent="0.2">
      <c r="A60" t="s">
        <v>29</v>
      </c>
      <c r="B60" t="s">
        <v>30</v>
      </c>
      <c r="C60" s="5">
        <v>51056146.630000003</v>
      </c>
      <c r="D60" s="2">
        <v>44932</v>
      </c>
      <c r="E60" s="5">
        <f t="shared" si="2"/>
        <v>107217907.92300001</v>
      </c>
      <c r="F60" s="2">
        <v>44931</v>
      </c>
      <c r="G60" s="3" t="s">
        <v>363</v>
      </c>
      <c r="H60" t="s">
        <v>72</v>
      </c>
      <c r="I60" s="7">
        <v>35334</v>
      </c>
      <c r="J60" t="s">
        <v>24</v>
      </c>
      <c r="K60" s="12">
        <v>6</v>
      </c>
      <c r="L60" t="s">
        <v>2</v>
      </c>
      <c r="M60" s="12">
        <v>87086.25</v>
      </c>
      <c r="N60" t="s">
        <v>1</v>
      </c>
      <c r="O60" s="12">
        <v>14514.38</v>
      </c>
      <c r="P60" s="12">
        <v>10661.88</v>
      </c>
      <c r="Q60" s="12">
        <v>1776.98</v>
      </c>
    </row>
    <row r="61" spans="1:17" x14ac:dyDescent="0.2">
      <c r="A61" t="s">
        <v>29</v>
      </c>
      <c r="B61" t="s">
        <v>30</v>
      </c>
      <c r="C61" s="5">
        <v>51056147.620000005</v>
      </c>
      <c r="D61" s="2">
        <v>44923</v>
      </c>
      <c r="E61" s="5">
        <f t="shared" si="2"/>
        <v>107217910.00200002</v>
      </c>
      <c r="F61" s="2">
        <v>44931</v>
      </c>
      <c r="G61" s="3" t="s">
        <v>364</v>
      </c>
      <c r="H61" t="s">
        <v>73</v>
      </c>
      <c r="I61" s="7">
        <v>49689</v>
      </c>
      <c r="J61" t="s">
        <v>20</v>
      </c>
      <c r="K61" s="12">
        <v>15000</v>
      </c>
      <c r="L61" t="s">
        <v>0</v>
      </c>
      <c r="M61" s="12">
        <v>249000</v>
      </c>
      <c r="N61" t="s">
        <v>1</v>
      </c>
      <c r="O61" s="12">
        <v>16.600000000000001</v>
      </c>
      <c r="P61" s="12">
        <v>45724.99</v>
      </c>
      <c r="Q61" s="12">
        <v>3.05</v>
      </c>
    </row>
    <row r="62" spans="1:17" x14ac:dyDescent="0.2">
      <c r="A62" t="s">
        <v>29</v>
      </c>
      <c r="B62" t="s">
        <v>30</v>
      </c>
      <c r="C62" s="5">
        <v>51056156.370000005</v>
      </c>
      <c r="D62" s="2">
        <v>44919</v>
      </c>
      <c r="E62" s="5">
        <f t="shared" si="2"/>
        <v>107217928.37700002</v>
      </c>
      <c r="F62" s="2">
        <v>44932</v>
      </c>
      <c r="G62" s="3" t="s">
        <v>340</v>
      </c>
      <c r="H62" t="s">
        <v>50</v>
      </c>
      <c r="I62" s="7">
        <v>35334</v>
      </c>
      <c r="J62" t="s">
        <v>24</v>
      </c>
      <c r="K62" s="12">
        <v>19.559999999999999</v>
      </c>
      <c r="L62" t="s">
        <v>2</v>
      </c>
      <c r="M62" s="12">
        <v>271282.71000000002</v>
      </c>
      <c r="N62" t="s">
        <v>1</v>
      </c>
      <c r="O62" s="12">
        <v>13869.26</v>
      </c>
      <c r="P62" s="12">
        <v>49816.83</v>
      </c>
      <c r="Q62" s="12">
        <v>2546.87</v>
      </c>
    </row>
    <row r="63" spans="1:17" x14ac:dyDescent="0.2">
      <c r="A63" t="s">
        <v>29</v>
      </c>
      <c r="B63" t="s">
        <v>30</v>
      </c>
      <c r="C63" s="5">
        <v>51056156.399999999</v>
      </c>
      <c r="D63" s="2">
        <v>44932</v>
      </c>
      <c r="E63" s="5">
        <f t="shared" ref="E63:E94" si="3">C63*2.1</f>
        <v>107217928.44</v>
      </c>
      <c r="F63" s="2">
        <v>44932</v>
      </c>
      <c r="G63" s="3" t="s">
        <v>365</v>
      </c>
      <c r="H63" t="s">
        <v>74</v>
      </c>
      <c r="I63" s="7">
        <v>35334</v>
      </c>
      <c r="J63" t="s">
        <v>24</v>
      </c>
      <c r="K63" s="12">
        <v>14.4</v>
      </c>
      <c r="L63" t="s">
        <v>2</v>
      </c>
      <c r="M63" s="12">
        <v>139338</v>
      </c>
      <c r="N63" t="s">
        <v>1</v>
      </c>
      <c r="O63" s="12">
        <v>9676.25</v>
      </c>
      <c r="P63" s="12">
        <v>25918</v>
      </c>
      <c r="Q63" s="12">
        <v>1799.86</v>
      </c>
    </row>
    <row r="64" spans="1:17" x14ac:dyDescent="0.2">
      <c r="A64" t="s">
        <v>29</v>
      </c>
      <c r="B64" t="s">
        <v>30</v>
      </c>
      <c r="C64" s="5">
        <v>51056156.460000001</v>
      </c>
      <c r="D64" s="2">
        <v>44932</v>
      </c>
      <c r="E64" s="5">
        <f t="shared" si="3"/>
        <v>107217928.566</v>
      </c>
      <c r="F64" s="2">
        <v>44932</v>
      </c>
      <c r="G64" s="3" t="s">
        <v>366</v>
      </c>
      <c r="H64" t="s">
        <v>75</v>
      </c>
      <c r="I64" s="7">
        <v>49738</v>
      </c>
      <c r="J64" t="s">
        <v>21</v>
      </c>
      <c r="K64" s="12">
        <v>12000</v>
      </c>
      <c r="L64" t="s">
        <v>0</v>
      </c>
      <c r="M64" s="12">
        <v>108668</v>
      </c>
      <c r="N64" t="s">
        <v>1</v>
      </c>
      <c r="O64" s="12">
        <v>9.06</v>
      </c>
      <c r="P64" s="12">
        <v>20115.14</v>
      </c>
      <c r="Q64" s="12">
        <v>1.68</v>
      </c>
    </row>
    <row r="65" spans="1:17" x14ac:dyDescent="0.2">
      <c r="A65" t="s">
        <v>29</v>
      </c>
      <c r="B65" t="s">
        <v>30</v>
      </c>
      <c r="C65" s="5">
        <v>51056157.020000003</v>
      </c>
      <c r="D65" s="2">
        <v>44932</v>
      </c>
      <c r="E65" s="5">
        <f t="shared" si="3"/>
        <v>107217929.74200001</v>
      </c>
      <c r="F65" s="2">
        <v>44932</v>
      </c>
      <c r="G65" s="3" t="s">
        <v>363</v>
      </c>
      <c r="H65" t="s">
        <v>72</v>
      </c>
      <c r="I65" s="7">
        <v>35334</v>
      </c>
      <c r="J65" t="s">
        <v>24</v>
      </c>
      <c r="K65" s="12">
        <v>6</v>
      </c>
      <c r="L65" t="s">
        <v>2</v>
      </c>
      <c r="M65" s="12">
        <v>87086.25</v>
      </c>
      <c r="N65" t="s">
        <v>1</v>
      </c>
      <c r="O65" s="12">
        <v>14514.38</v>
      </c>
      <c r="P65" s="12">
        <v>10661.88</v>
      </c>
      <c r="Q65" s="12">
        <v>1776.98</v>
      </c>
    </row>
    <row r="66" spans="1:17" x14ac:dyDescent="0.2">
      <c r="A66" t="s">
        <v>29</v>
      </c>
      <c r="B66" t="s">
        <v>30</v>
      </c>
      <c r="C66" s="5">
        <v>51056158.579999998</v>
      </c>
      <c r="D66" s="2">
        <v>43591</v>
      </c>
      <c r="E66" s="5">
        <f t="shared" si="3"/>
        <v>107217933.01800001</v>
      </c>
      <c r="F66" s="2">
        <v>44932</v>
      </c>
      <c r="G66" s="3" t="s">
        <v>340</v>
      </c>
      <c r="H66" t="s">
        <v>50</v>
      </c>
      <c r="I66" s="7">
        <v>35334</v>
      </c>
      <c r="J66" t="s">
        <v>24</v>
      </c>
      <c r="K66" s="12">
        <v>4.343</v>
      </c>
      <c r="L66" t="s">
        <v>2</v>
      </c>
      <c r="M66" s="12">
        <v>60234.26</v>
      </c>
      <c r="N66" t="s">
        <v>1</v>
      </c>
      <c r="O66" s="12">
        <v>13869.27</v>
      </c>
      <c r="P66" s="12">
        <v>5095.2700000000004</v>
      </c>
      <c r="Q66" s="12">
        <v>1173.21</v>
      </c>
    </row>
    <row r="67" spans="1:17" x14ac:dyDescent="0.2">
      <c r="A67" t="s">
        <v>29</v>
      </c>
      <c r="B67" t="s">
        <v>30</v>
      </c>
      <c r="C67" s="5">
        <v>51056159.350000001</v>
      </c>
      <c r="D67" s="2">
        <v>44919</v>
      </c>
      <c r="E67" s="5">
        <f t="shared" si="3"/>
        <v>107217934.63500001</v>
      </c>
      <c r="F67" s="2">
        <v>44932</v>
      </c>
      <c r="G67" s="3" t="s">
        <v>350</v>
      </c>
      <c r="H67" t="s">
        <v>59</v>
      </c>
      <c r="I67" s="7">
        <v>35334</v>
      </c>
      <c r="J67" t="s">
        <v>24</v>
      </c>
      <c r="K67" s="12">
        <v>30</v>
      </c>
      <c r="L67" t="s">
        <v>2</v>
      </c>
      <c r="M67" s="12">
        <v>406402.5</v>
      </c>
      <c r="N67" t="s">
        <v>1</v>
      </c>
      <c r="O67" s="12">
        <v>13546.75</v>
      </c>
      <c r="P67" s="12">
        <v>74629.509999999995</v>
      </c>
      <c r="Q67" s="12">
        <v>2487.65</v>
      </c>
    </row>
    <row r="68" spans="1:17" x14ac:dyDescent="0.2">
      <c r="A68" t="s">
        <v>29</v>
      </c>
      <c r="B68" t="s">
        <v>30</v>
      </c>
      <c r="C68" s="5">
        <v>51056159.670000002</v>
      </c>
      <c r="D68" s="2">
        <v>44932</v>
      </c>
      <c r="E68" s="5">
        <f t="shared" si="3"/>
        <v>107217935.30700001</v>
      </c>
      <c r="F68" s="2">
        <v>44932</v>
      </c>
      <c r="G68" s="3" t="s">
        <v>367</v>
      </c>
      <c r="H68" t="s">
        <v>76</v>
      </c>
      <c r="I68" s="7">
        <v>35334</v>
      </c>
      <c r="J68" t="s">
        <v>24</v>
      </c>
      <c r="K68" s="12">
        <v>15</v>
      </c>
      <c r="L68" t="s">
        <v>2</v>
      </c>
      <c r="M68" s="12">
        <v>212877.51</v>
      </c>
      <c r="N68" t="s">
        <v>1</v>
      </c>
      <c r="O68" s="12">
        <v>14191.83</v>
      </c>
      <c r="P68" s="12">
        <v>26728.65</v>
      </c>
      <c r="Q68" s="12">
        <v>1781.91</v>
      </c>
    </row>
    <row r="69" spans="1:17" x14ac:dyDescent="0.2">
      <c r="A69" t="s">
        <v>29</v>
      </c>
      <c r="B69" t="s">
        <v>30</v>
      </c>
      <c r="C69" s="5">
        <v>51056160.230000004</v>
      </c>
      <c r="D69" s="2">
        <v>44932</v>
      </c>
      <c r="E69" s="5">
        <f t="shared" si="3"/>
        <v>107217936.48300001</v>
      </c>
      <c r="F69" s="2">
        <v>44932</v>
      </c>
      <c r="G69" s="3" t="s">
        <v>349</v>
      </c>
      <c r="H69" t="s">
        <v>58</v>
      </c>
      <c r="I69" s="7">
        <v>35334</v>
      </c>
      <c r="J69" t="s">
        <v>24</v>
      </c>
      <c r="K69" s="12">
        <v>21</v>
      </c>
      <c r="L69" t="s">
        <v>2</v>
      </c>
      <c r="M69" s="12">
        <v>304801.88</v>
      </c>
      <c r="N69" t="s">
        <v>1</v>
      </c>
      <c r="O69" s="12">
        <v>14514.38</v>
      </c>
      <c r="P69" s="12">
        <v>47792.57</v>
      </c>
      <c r="Q69" s="12">
        <v>2275.84</v>
      </c>
    </row>
    <row r="70" spans="1:17" x14ac:dyDescent="0.2">
      <c r="A70" t="s">
        <v>29</v>
      </c>
      <c r="B70" t="s">
        <v>30</v>
      </c>
      <c r="C70" s="5">
        <v>51056163.240000002</v>
      </c>
      <c r="D70" s="2">
        <v>44919</v>
      </c>
      <c r="E70" s="5">
        <f t="shared" si="3"/>
        <v>107217942.80400001</v>
      </c>
      <c r="F70" s="2">
        <v>44932</v>
      </c>
      <c r="G70" s="3" t="s">
        <v>368</v>
      </c>
      <c r="H70" t="s">
        <v>77</v>
      </c>
      <c r="I70" s="7">
        <v>35334</v>
      </c>
      <c r="J70" t="s">
        <v>24</v>
      </c>
      <c r="K70" s="12">
        <v>13.8</v>
      </c>
      <c r="L70" t="s">
        <v>2</v>
      </c>
      <c r="M70" s="12">
        <v>192286.44</v>
      </c>
      <c r="N70" t="s">
        <v>1</v>
      </c>
      <c r="O70" s="12">
        <v>13933.8</v>
      </c>
      <c r="P70" s="12">
        <v>35311.730000000003</v>
      </c>
      <c r="Q70" s="12">
        <v>2558.8200000000002</v>
      </c>
    </row>
    <row r="71" spans="1:17" x14ac:dyDescent="0.2">
      <c r="A71" t="s">
        <v>29</v>
      </c>
      <c r="B71" t="s">
        <v>30</v>
      </c>
      <c r="C71" s="5">
        <v>51056168.050000004</v>
      </c>
      <c r="D71" s="2">
        <v>44905</v>
      </c>
      <c r="E71" s="5">
        <f t="shared" si="3"/>
        <v>107217952.90500002</v>
      </c>
      <c r="F71" s="2">
        <v>44932</v>
      </c>
      <c r="G71" s="3" t="s">
        <v>369</v>
      </c>
      <c r="H71" t="s">
        <v>78</v>
      </c>
      <c r="I71" s="7">
        <v>35334</v>
      </c>
      <c r="J71" t="s">
        <v>24</v>
      </c>
      <c r="K71" s="12">
        <v>15</v>
      </c>
      <c r="L71" t="s">
        <v>2</v>
      </c>
      <c r="M71" s="12">
        <v>208039.38</v>
      </c>
      <c r="N71" t="s">
        <v>1</v>
      </c>
      <c r="O71" s="12">
        <v>13869.29</v>
      </c>
      <c r="P71" s="12">
        <v>38700.67</v>
      </c>
      <c r="Q71" s="12">
        <v>2580.04</v>
      </c>
    </row>
    <row r="72" spans="1:17" x14ac:dyDescent="0.2">
      <c r="A72" t="s">
        <v>29</v>
      </c>
      <c r="B72" t="s">
        <v>30</v>
      </c>
      <c r="C72" s="5">
        <v>51056172.910000004</v>
      </c>
      <c r="D72" s="2">
        <v>44929</v>
      </c>
      <c r="E72" s="5">
        <f t="shared" si="3"/>
        <v>107217963.11100002</v>
      </c>
      <c r="F72" s="2">
        <v>44932</v>
      </c>
      <c r="G72" s="3" t="s">
        <v>364</v>
      </c>
      <c r="H72" t="s">
        <v>73</v>
      </c>
      <c r="I72" s="7">
        <v>49689</v>
      </c>
      <c r="J72" t="s">
        <v>20</v>
      </c>
      <c r="K72" s="12">
        <v>15000</v>
      </c>
      <c r="L72" t="s">
        <v>0</v>
      </c>
      <c r="M72" s="12">
        <v>248750</v>
      </c>
      <c r="N72" t="s">
        <v>1</v>
      </c>
      <c r="O72" s="12">
        <v>16.579999999999998</v>
      </c>
      <c r="P72" s="12">
        <v>46035.95</v>
      </c>
      <c r="Q72" s="12">
        <v>3.07</v>
      </c>
    </row>
    <row r="73" spans="1:17" x14ac:dyDescent="0.2">
      <c r="A73" t="s">
        <v>29</v>
      </c>
      <c r="B73" t="s">
        <v>30</v>
      </c>
      <c r="C73" s="5">
        <v>51056176.710000001</v>
      </c>
      <c r="D73" s="2">
        <v>44930</v>
      </c>
      <c r="E73" s="5">
        <f t="shared" si="3"/>
        <v>107217971.09100001</v>
      </c>
      <c r="F73" s="2">
        <v>44932</v>
      </c>
      <c r="G73" s="3" t="s">
        <v>370</v>
      </c>
      <c r="H73" t="s">
        <v>79</v>
      </c>
      <c r="I73" s="7">
        <v>49689</v>
      </c>
      <c r="J73" t="s">
        <v>20</v>
      </c>
      <c r="K73" s="12">
        <v>1886.9</v>
      </c>
      <c r="L73" t="s">
        <v>0</v>
      </c>
      <c r="M73" s="12">
        <v>32001.82</v>
      </c>
      <c r="N73" t="s">
        <v>1</v>
      </c>
      <c r="O73" s="12">
        <v>16.96</v>
      </c>
      <c r="P73" s="12">
        <v>5923.74</v>
      </c>
      <c r="Q73" s="12">
        <v>3.14</v>
      </c>
    </row>
    <row r="74" spans="1:17" x14ac:dyDescent="0.2">
      <c r="A74" t="s">
        <v>29</v>
      </c>
      <c r="B74" t="s">
        <v>30</v>
      </c>
      <c r="C74" s="5">
        <v>51056178.039999999</v>
      </c>
      <c r="D74" s="2">
        <v>44933</v>
      </c>
      <c r="E74" s="5">
        <f t="shared" si="3"/>
        <v>107217973.884</v>
      </c>
      <c r="F74" s="2">
        <v>44932</v>
      </c>
      <c r="G74" s="3" t="s">
        <v>363</v>
      </c>
      <c r="H74" t="s">
        <v>72</v>
      </c>
      <c r="I74" s="7">
        <v>35334</v>
      </c>
      <c r="J74" t="s">
        <v>24</v>
      </c>
      <c r="K74" s="12">
        <v>6</v>
      </c>
      <c r="L74" t="s">
        <v>2</v>
      </c>
      <c r="M74" s="12">
        <v>87086.25</v>
      </c>
      <c r="N74" t="s">
        <v>1</v>
      </c>
      <c r="O74" s="12">
        <v>14514.38</v>
      </c>
      <c r="P74" s="12">
        <v>10755.39</v>
      </c>
      <c r="Q74" s="12">
        <v>1792.57</v>
      </c>
    </row>
    <row r="75" spans="1:17" x14ac:dyDescent="0.2">
      <c r="A75" t="s">
        <v>29</v>
      </c>
      <c r="B75" t="s">
        <v>30</v>
      </c>
      <c r="C75" s="5">
        <v>51056178.93</v>
      </c>
      <c r="D75" s="2">
        <v>44932</v>
      </c>
      <c r="E75" s="5">
        <f t="shared" si="3"/>
        <v>107217975.75300001</v>
      </c>
      <c r="F75" s="2">
        <v>44932</v>
      </c>
      <c r="G75" s="3" t="s">
        <v>371</v>
      </c>
      <c r="H75" t="s">
        <v>80</v>
      </c>
      <c r="I75" s="7">
        <v>49689</v>
      </c>
      <c r="J75" t="s">
        <v>20</v>
      </c>
      <c r="K75" s="12">
        <v>1910</v>
      </c>
      <c r="L75" t="s">
        <v>0</v>
      </c>
      <c r="M75" s="12">
        <v>30942</v>
      </c>
      <c r="N75" t="s">
        <v>1</v>
      </c>
      <c r="O75" s="12">
        <v>16.2</v>
      </c>
      <c r="P75" s="12">
        <v>5727.56</v>
      </c>
      <c r="Q75" s="12">
        <v>3</v>
      </c>
    </row>
    <row r="76" spans="1:17" x14ac:dyDescent="0.2">
      <c r="A76" t="s">
        <v>29</v>
      </c>
      <c r="B76" t="s">
        <v>30</v>
      </c>
      <c r="C76" s="5">
        <v>51056208.039999999</v>
      </c>
      <c r="D76" s="2">
        <v>44935</v>
      </c>
      <c r="E76" s="5">
        <f t="shared" si="3"/>
        <v>107218036.884</v>
      </c>
      <c r="F76" s="2">
        <v>44935</v>
      </c>
      <c r="G76" s="3" t="s">
        <v>366</v>
      </c>
      <c r="H76" t="s">
        <v>75</v>
      </c>
      <c r="I76" s="7">
        <v>49738</v>
      </c>
      <c r="J76" t="s">
        <v>21</v>
      </c>
      <c r="K76" s="12">
        <v>12300</v>
      </c>
      <c r="L76" t="s">
        <v>0</v>
      </c>
      <c r="M76" s="12">
        <v>113065.7</v>
      </c>
      <c r="N76" t="s">
        <v>1</v>
      </c>
      <c r="O76" s="12">
        <v>9.19</v>
      </c>
      <c r="P76" s="12">
        <v>20929.18</v>
      </c>
      <c r="Q76" s="12">
        <v>1.7</v>
      </c>
    </row>
    <row r="77" spans="1:17" x14ac:dyDescent="0.2">
      <c r="A77" t="s">
        <v>29</v>
      </c>
      <c r="B77" t="s">
        <v>30</v>
      </c>
      <c r="C77" s="5">
        <v>51056209.359999999</v>
      </c>
      <c r="D77" s="2">
        <v>44923</v>
      </c>
      <c r="E77" s="5">
        <f t="shared" si="3"/>
        <v>107218039.656</v>
      </c>
      <c r="F77" s="2">
        <v>44935</v>
      </c>
      <c r="G77" s="3" t="s">
        <v>326</v>
      </c>
      <c r="H77" t="s">
        <v>36</v>
      </c>
      <c r="I77" s="7">
        <v>35333</v>
      </c>
      <c r="J77" t="s">
        <v>22</v>
      </c>
      <c r="K77" s="12">
        <v>3</v>
      </c>
      <c r="L77" t="s">
        <v>2</v>
      </c>
      <c r="M77" s="12">
        <v>42091.69</v>
      </c>
      <c r="N77" t="s">
        <v>1</v>
      </c>
      <c r="O77" s="12">
        <v>14030.56</v>
      </c>
      <c r="P77" s="12">
        <v>7791.43</v>
      </c>
      <c r="Q77" s="12">
        <v>2597.14</v>
      </c>
    </row>
    <row r="78" spans="1:17" x14ac:dyDescent="0.2">
      <c r="A78" t="s">
        <v>29</v>
      </c>
      <c r="B78" t="s">
        <v>30</v>
      </c>
      <c r="C78" s="5">
        <v>51056209.789999999</v>
      </c>
      <c r="D78" s="2">
        <v>44932</v>
      </c>
      <c r="E78" s="5">
        <f t="shared" si="3"/>
        <v>107218040.559</v>
      </c>
      <c r="F78" s="2">
        <v>44935</v>
      </c>
      <c r="G78" s="3" t="s">
        <v>372</v>
      </c>
      <c r="H78" t="s">
        <v>81</v>
      </c>
      <c r="I78" s="7">
        <v>49689</v>
      </c>
      <c r="J78" t="s">
        <v>20</v>
      </c>
      <c r="K78" s="12">
        <v>1807</v>
      </c>
      <c r="L78" t="s">
        <v>0</v>
      </c>
      <c r="M78" s="12">
        <v>29915.07</v>
      </c>
      <c r="N78" t="s">
        <v>1</v>
      </c>
      <c r="O78" s="12">
        <v>16.559999999999999</v>
      </c>
      <c r="P78" s="12">
        <v>5537.47</v>
      </c>
      <c r="Q78" s="12">
        <v>3.06</v>
      </c>
    </row>
    <row r="79" spans="1:17" x14ac:dyDescent="0.2">
      <c r="A79" t="s">
        <v>29</v>
      </c>
      <c r="B79" t="s">
        <v>30</v>
      </c>
      <c r="C79" s="5">
        <v>51056212.710000001</v>
      </c>
      <c r="D79" s="2">
        <v>44931</v>
      </c>
      <c r="E79" s="5">
        <f t="shared" si="3"/>
        <v>107218046.691</v>
      </c>
      <c r="F79" s="2">
        <v>44935</v>
      </c>
      <c r="G79" s="3" t="s">
        <v>339</v>
      </c>
      <c r="H79" t="s">
        <v>49</v>
      </c>
      <c r="I79" s="7">
        <v>49731</v>
      </c>
      <c r="J79" t="s">
        <v>23</v>
      </c>
      <c r="K79" s="12">
        <v>10212</v>
      </c>
      <c r="L79" t="s">
        <v>0</v>
      </c>
      <c r="M79" s="12">
        <v>145345.35</v>
      </c>
      <c r="N79" t="s">
        <v>1</v>
      </c>
      <c r="O79" s="12">
        <v>14.23</v>
      </c>
      <c r="P79" s="12">
        <v>27500.44</v>
      </c>
      <c r="Q79" s="12">
        <v>2.69</v>
      </c>
    </row>
    <row r="80" spans="1:17" x14ac:dyDescent="0.2">
      <c r="A80" t="s">
        <v>29</v>
      </c>
      <c r="B80" t="s">
        <v>30</v>
      </c>
      <c r="C80" s="5">
        <v>51056213.32</v>
      </c>
      <c r="D80" s="2">
        <v>44931</v>
      </c>
      <c r="E80" s="5">
        <f t="shared" si="3"/>
        <v>107218047.972</v>
      </c>
      <c r="F80" s="2">
        <v>44935</v>
      </c>
      <c r="G80" s="3" t="s">
        <v>367</v>
      </c>
      <c r="H80" t="s">
        <v>76</v>
      </c>
      <c r="I80" s="7">
        <v>35334</v>
      </c>
      <c r="J80" t="s">
        <v>24</v>
      </c>
      <c r="K80" s="12">
        <v>15</v>
      </c>
      <c r="L80" t="s">
        <v>2</v>
      </c>
      <c r="M80" s="12">
        <v>209007</v>
      </c>
      <c r="N80" t="s">
        <v>1</v>
      </c>
      <c r="O80" s="12">
        <v>13933.8</v>
      </c>
      <c r="P80" s="12">
        <v>27106.69</v>
      </c>
      <c r="Q80" s="12">
        <v>1807.11</v>
      </c>
    </row>
    <row r="81" spans="1:17" x14ac:dyDescent="0.2">
      <c r="A81" t="s">
        <v>29</v>
      </c>
      <c r="B81" t="s">
        <v>30</v>
      </c>
      <c r="C81" s="5">
        <v>51056217.289999999</v>
      </c>
      <c r="D81" s="2">
        <v>44910</v>
      </c>
      <c r="E81" s="5">
        <f t="shared" si="3"/>
        <v>107218056.309</v>
      </c>
      <c r="F81" s="2">
        <v>44935</v>
      </c>
      <c r="G81" s="3" t="s">
        <v>373</v>
      </c>
      <c r="H81" t="s">
        <v>82</v>
      </c>
      <c r="I81" s="7">
        <v>49738</v>
      </c>
      <c r="J81" t="s">
        <v>21</v>
      </c>
      <c r="K81" s="12">
        <v>12360</v>
      </c>
      <c r="L81" t="s">
        <v>0</v>
      </c>
      <c r="M81" s="12">
        <v>144200</v>
      </c>
      <c r="N81" t="s">
        <v>1</v>
      </c>
      <c r="O81" s="12">
        <v>11.67</v>
      </c>
      <c r="P81" s="12">
        <v>27283.74</v>
      </c>
      <c r="Q81" s="12">
        <v>2.21</v>
      </c>
    </row>
    <row r="82" spans="1:17" x14ac:dyDescent="0.2">
      <c r="A82" t="s">
        <v>29</v>
      </c>
      <c r="B82" t="s">
        <v>30</v>
      </c>
      <c r="C82" s="5">
        <v>51056218.230000004</v>
      </c>
      <c r="D82" s="2">
        <v>44935</v>
      </c>
      <c r="E82" s="5">
        <f t="shared" si="3"/>
        <v>107218058.28300001</v>
      </c>
      <c r="F82" s="2">
        <v>44935</v>
      </c>
      <c r="G82" s="3" t="s">
        <v>374</v>
      </c>
      <c r="H82" t="s">
        <v>83</v>
      </c>
      <c r="I82" s="7">
        <v>49689</v>
      </c>
      <c r="J82" t="s">
        <v>20</v>
      </c>
      <c r="K82" s="12">
        <v>19680</v>
      </c>
      <c r="L82" t="s">
        <v>0</v>
      </c>
      <c r="M82" s="12">
        <v>276349.84000000003</v>
      </c>
      <c r="N82" t="s">
        <v>1</v>
      </c>
      <c r="O82" s="12">
        <v>14.04</v>
      </c>
      <c r="P82" s="12">
        <v>52287.49</v>
      </c>
      <c r="Q82" s="12">
        <v>2.66</v>
      </c>
    </row>
    <row r="83" spans="1:17" x14ac:dyDescent="0.2">
      <c r="A83" t="s">
        <v>29</v>
      </c>
      <c r="B83" t="s">
        <v>30</v>
      </c>
      <c r="C83" s="5">
        <v>51056218.990000002</v>
      </c>
      <c r="D83" s="2">
        <v>44929</v>
      </c>
      <c r="E83" s="5">
        <f t="shared" si="3"/>
        <v>107218059.87900001</v>
      </c>
      <c r="F83" s="2">
        <v>44935</v>
      </c>
      <c r="G83" s="3" t="s">
        <v>364</v>
      </c>
      <c r="H83" t="s">
        <v>73</v>
      </c>
      <c r="I83" s="7">
        <v>49689</v>
      </c>
      <c r="J83" t="s">
        <v>20</v>
      </c>
      <c r="K83" s="12">
        <v>12000</v>
      </c>
      <c r="L83" t="s">
        <v>0</v>
      </c>
      <c r="M83" s="12">
        <v>197588</v>
      </c>
      <c r="N83" t="s">
        <v>1</v>
      </c>
      <c r="O83" s="12">
        <v>16.47</v>
      </c>
      <c r="P83" s="12">
        <v>37385.15</v>
      </c>
      <c r="Q83" s="12">
        <v>3.12</v>
      </c>
    </row>
    <row r="84" spans="1:17" x14ac:dyDescent="0.2">
      <c r="A84" t="s">
        <v>29</v>
      </c>
      <c r="B84" t="s">
        <v>30</v>
      </c>
      <c r="C84" s="5">
        <v>51056219.189999998</v>
      </c>
      <c r="D84" s="2">
        <v>44919</v>
      </c>
      <c r="E84" s="5">
        <f t="shared" si="3"/>
        <v>107218060.29899999</v>
      </c>
      <c r="F84" s="2">
        <v>44935</v>
      </c>
      <c r="G84" s="3" t="s">
        <v>340</v>
      </c>
      <c r="H84" t="s">
        <v>50</v>
      </c>
      <c r="I84" s="7">
        <v>35334</v>
      </c>
      <c r="J84" t="s">
        <v>24</v>
      </c>
      <c r="K84" s="12">
        <v>15</v>
      </c>
      <c r="L84" t="s">
        <v>2</v>
      </c>
      <c r="M84" s="12">
        <v>221489.36</v>
      </c>
      <c r="N84" t="s">
        <v>1</v>
      </c>
      <c r="O84" s="12">
        <v>14765.96</v>
      </c>
      <c r="P84" s="12">
        <v>41017.050000000003</v>
      </c>
      <c r="Q84" s="12">
        <v>2734.47</v>
      </c>
    </row>
    <row r="85" spans="1:17" x14ac:dyDescent="0.2">
      <c r="A85" t="s">
        <v>29</v>
      </c>
      <c r="B85" t="s">
        <v>30</v>
      </c>
      <c r="C85" s="5">
        <v>51056219.890000001</v>
      </c>
      <c r="D85" s="2">
        <v>44919</v>
      </c>
      <c r="E85" s="5">
        <f t="shared" si="3"/>
        <v>107218061.76900001</v>
      </c>
      <c r="F85" s="2">
        <v>44935</v>
      </c>
      <c r="G85" s="3" t="s">
        <v>340</v>
      </c>
      <c r="H85" t="s">
        <v>50</v>
      </c>
      <c r="I85" s="7">
        <v>35334</v>
      </c>
      <c r="J85" t="s">
        <v>24</v>
      </c>
      <c r="K85" s="12">
        <v>15</v>
      </c>
      <c r="L85" t="s">
        <v>2</v>
      </c>
      <c r="M85" s="12">
        <v>221489.36</v>
      </c>
      <c r="N85" t="s">
        <v>1</v>
      </c>
      <c r="O85" s="12">
        <v>14765.96</v>
      </c>
      <c r="P85" s="12">
        <v>40999.06</v>
      </c>
      <c r="Q85" s="12">
        <v>2733.27</v>
      </c>
    </row>
    <row r="86" spans="1:17" x14ac:dyDescent="0.2">
      <c r="A86" t="s">
        <v>29</v>
      </c>
      <c r="B86" t="s">
        <v>30</v>
      </c>
      <c r="C86" s="5">
        <v>51056219.960000001</v>
      </c>
      <c r="D86" s="2">
        <v>44935</v>
      </c>
      <c r="E86" s="5">
        <f t="shared" si="3"/>
        <v>107218061.91600001</v>
      </c>
      <c r="F86" s="2">
        <v>44935</v>
      </c>
      <c r="G86" s="3" t="s">
        <v>375</v>
      </c>
      <c r="H86" t="s">
        <v>84</v>
      </c>
      <c r="I86" s="7">
        <v>49689</v>
      </c>
      <c r="J86" t="s">
        <v>20</v>
      </c>
      <c r="K86" s="12">
        <v>1799.7</v>
      </c>
      <c r="L86" t="s">
        <v>0</v>
      </c>
      <c r="M86" s="12">
        <v>28878.35</v>
      </c>
      <c r="N86" t="s">
        <v>1</v>
      </c>
      <c r="O86" s="12">
        <v>16.05</v>
      </c>
      <c r="P86" s="12">
        <v>5464</v>
      </c>
      <c r="Q86" s="12">
        <v>3.04</v>
      </c>
    </row>
    <row r="87" spans="1:17" x14ac:dyDescent="0.2">
      <c r="A87" t="s">
        <v>29</v>
      </c>
      <c r="B87" t="s">
        <v>30</v>
      </c>
      <c r="C87" s="5">
        <v>51056222.090000004</v>
      </c>
      <c r="D87" s="2">
        <v>44935</v>
      </c>
      <c r="E87" s="5">
        <f t="shared" si="3"/>
        <v>107218066.38900001</v>
      </c>
      <c r="F87" s="2">
        <v>44935</v>
      </c>
      <c r="G87" s="3" t="s">
        <v>376</v>
      </c>
      <c r="H87" t="s">
        <v>85</v>
      </c>
      <c r="I87" s="7">
        <v>49689</v>
      </c>
      <c r="J87" t="s">
        <v>20</v>
      </c>
      <c r="K87" s="12">
        <v>2594.3000000000002</v>
      </c>
      <c r="L87" t="s">
        <v>0</v>
      </c>
      <c r="M87" s="12">
        <v>42395.01</v>
      </c>
      <c r="N87" t="s">
        <v>1</v>
      </c>
      <c r="O87" s="12">
        <v>16.34</v>
      </c>
      <c r="P87" s="12">
        <v>8021.46</v>
      </c>
      <c r="Q87" s="12">
        <v>3.09</v>
      </c>
    </row>
    <row r="88" spans="1:17" x14ac:dyDescent="0.2">
      <c r="A88" t="s">
        <v>29</v>
      </c>
      <c r="B88" t="s">
        <v>30</v>
      </c>
      <c r="C88" s="5">
        <v>51056223.380000003</v>
      </c>
      <c r="D88" s="2">
        <v>44935</v>
      </c>
      <c r="E88" s="5">
        <f t="shared" si="3"/>
        <v>107218069.098</v>
      </c>
      <c r="F88" s="2">
        <v>44935</v>
      </c>
      <c r="G88" s="3" t="s">
        <v>377</v>
      </c>
      <c r="H88" t="s">
        <v>86</v>
      </c>
      <c r="I88" s="7">
        <v>49731</v>
      </c>
      <c r="J88" t="s">
        <v>23</v>
      </c>
      <c r="K88" s="12">
        <v>2382.1799999999998</v>
      </c>
      <c r="L88" t="s">
        <v>0</v>
      </c>
      <c r="M88" s="12">
        <v>34446.32</v>
      </c>
      <c r="N88" t="s">
        <v>1</v>
      </c>
      <c r="O88" s="12">
        <v>14.46</v>
      </c>
      <c r="P88" s="12">
        <v>6517.51</v>
      </c>
      <c r="Q88" s="12">
        <v>2.74</v>
      </c>
    </row>
    <row r="89" spans="1:17" x14ac:dyDescent="0.2">
      <c r="A89" t="s">
        <v>29</v>
      </c>
      <c r="B89" t="s">
        <v>30</v>
      </c>
      <c r="C89" s="5">
        <v>51056223.43</v>
      </c>
      <c r="D89" s="2">
        <v>44932</v>
      </c>
      <c r="E89" s="5">
        <f t="shared" si="3"/>
        <v>107218069.20300001</v>
      </c>
      <c r="F89" s="2">
        <v>44935</v>
      </c>
      <c r="G89" s="3" t="s">
        <v>378</v>
      </c>
      <c r="H89" t="s">
        <v>87</v>
      </c>
      <c r="I89" s="7">
        <v>49731</v>
      </c>
      <c r="J89" t="s">
        <v>23</v>
      </c>
      <c r="K89" s="12">
        <v>5470</v>
      </c>
      <c r="L89" t="s">
        <v>0</v>
      </c>
      <c r="M89" s="12">
        <v>78549.2</v>
      </c>
      <c r="N89" t="s">
        <v>1</v>
      </c>
      <c r="O89" s="12">
        <v>14.36</v>
      </c>
      <c r="P89" s="12">
        <v>14862.11</v>
      </c>
      <c r="Q89" s="12">
        <v>2.72</v>
      </c>
    </row>
    <row r="90" spans="1:17" x14ac:dyDescent="0.2">
      <c r="A90" t="s">
        <v>29</v>
      </c>
      <c r="B90" t="s">
        <v>30</v>
      </c>
      <c r="C90" s="5">
        <v>51056223.770000003</v>
      </c>
      <c r="D90" s="2">
        <v>44905</v>
      </c>
      <c r="E90" s="5">
        <f t="shared" si="3"/>
        <v>107218069.91700001</v>
      </c>
      <c r="F90" s="2">
        <v>44935</v>
      </c>
      <c r="G90" s="3" t="s">
        <v>327</v>
      </c>
      <c r="H90" t="s">
        <v>37</v>
      </c>
      <c r="I90" s="7">
        <v>35333</v>
      </c>
      <c r="J90" t="s">
        <v>22</v>
      </c>
      <c r="K90" s="12">
        <v>4.2</v>
      </c>
      <c r="L90" t="s">
        <v>2</v>
      </c>
      <c r="M90" s="12">
        <v>56896.35</v>
      </c>
      <c r="N90" t="s">
        <v>1</v>
      </c>
      <c r="O90" s="12">
        <v>13546.75</v>
      </c>
      <c r="P90" s="12">
        <v>10765.22</v>
      </c>
      <c r="Q90" s="12">
        <v>2563.15</v>
      </c>
    </row>
    <row r="91" spans="1:17" x14ac:dyDescent="0.2">
      <c r="A91" t="s">
        <v>29</v>
      </c>
      <c r="B91" t="s">
        <v>30</v>
      </c>
      <c r="C91" s="5">
        <v>51056223.93</v>
      </c>
      <c r="D91" s="2">
        <v>44935</v>
      </c>
      <c r="E91" s="5">
        <f t="shared" si="3"/>
        <v>107218070.25300001</v>
      </c>
      <c r="F91" s="2">
        <v>44935</v>
      </c>
      <c r="G91" s="3" t="s">
        <v>376</v>
      </c>
      <c r="H91" t="s">
        <v>85</v>
      </c>
      <c r="I91" s="7">
        <v>49689</v>
      </c>
      <c r="J91" t="s">
        <v>20</v>
      </c>
      <c r="K91" s="12">
        <v>3610</v>
      </c>
      <c r="L91" t="s">
        <v>0</v>
      </c>
      <c r="M91" s="12">
        <v>60129.24</v>
      </c>
      <c r="N91" t="s">
        <v>1</v>
      </c>
      <c r="O91" s="12">
        <v>16.66</v>
      </c>
      <c r="P91" s="12">
        <v>11376.91</v>
      </c>
      <c r="Q91" s="12">
        <v>3.15</v>
      </c>
    </row>
    <row r="92" spans="1:17" x14ac:dyDescent="0.2">
      <c r="A92" t="s">
        <v>29</v>
      </c>
      <c r="B92" t="s">
        <v>30</v>
      </c>
      <c r="C92" s="5">
        <v>51056224.579999998</v>
      </c>
      <c r="D92" s="2">
        <v>44923</v>
      </c>
      <c r="E92" s="5">
        <f t="shared" si="3"/>
        <v>107218071.618</v>
      </c>
      <c r="F92" s="2">
        <v>44935</v>
      </c>
      <c r="G92" s="3" t="s">
        <v>326</v>
      </c>
      <c r="H92" t="s">
        <v>36</v>
      </c>
      <c r="I92" s="7">
        <v>35333</v>
      </c>
      <c r="J92" t="s">
        <v>22</v>
      </c>
      <c r="K92" s="12">
        <v>4</v>
      </c>
      <c r="L92" t="s">
        <v>2</v>
      </c>
      <c r="M92" s="12">
        <v>56122.25</v>
      </c>
      <c r="N92" t="s">
        <v>1</v>
      </c>
      <c r="O92" s="12">
        <v>14030.56</v>
      </c>
      <c r="P92" s="12">
        <v>10618.75</v>
      </c>
      <c r="Q92" s="12">
        <v>2654.69</v>
      </c>
    </row>
    <row r="93" spans="1:17" x14ac:dyDescent="0.2">
      <c r="A93" t="s">
        <v>29</v>
      </c>
      <c r="B93" t="s">
        <v>30</v>
      </c>
      <c r="C93" s="5">
        <v>51056225.060000002</v>
      </c>
      <c r="D93" s="2">
        <v>44925</v>
      </c>
      <c r="E93" s="5">
        <f t="shared" si="3"/>
        <v>107218072.62600002</v>
      </c>
      <c r="F93" s="2">
        <v>44935</v>
      </c>
      <c r="G93" s="3" t="s">
        <v>326</v>
      </c>
      <c r="H93" t="s">
        <v>36</v>
      </c>
      <c r="I93" s="7">
        <v>35333</v>
      </c>
      <c r="J93" t="s">
        <v>22</v>
      </c>
      <c r="K93" s="12">
        <v>3</v>
      </c>
      <c r="L93" t="s">
        <v>2</v>
      </c>
      <c r="M93" s="12">
        <v>42091.69</v>
      </c>
      <c r="N93" t="s">
        <v>1</v>
      </c>
      <c r="O93" s="12">
        <v>14030.56</v>
      </c>
      <c r="P93" s="12">
        <v>7947.23</v>
      </c>
      <c r="Q93" s="12">
        <v>2649.08</v>
      </c>
    </row>
    <row r="94" spans="1:17" x14ac:dyDescent="0.2">
      <c r="A94" t="s">
        <v>29</v>
      </c>
      <c r="B94" t="s">
        <v>30</v>
      </c>
      <c r="C94" s="5">
        <v>51056244.890000001</v>
      </c>
      <c r="D94" s="2">
        <v>44936</v>
      </c>
      <c r="E94" s="5">
        <f t="shared" si="3"/>
        <v>107218114.26900001</v>
      </c>
      <c r="F94" s="2">
        <v>44936</v>
      </c>
      <c r="G94" s="3" t="s">
        <v>363</v>
      </c>
      <c r="H94" t="s">
        <v>72</v>
      </c>
      <c r="I94" s="7">
        <v>35334</v>
      </c>
      <c r="J94" t="s">
        <v>24</v>
      </c>
      <c r="K94" s="12">
        <v>6</v>
      </c>
      <c r="L94" t="s">
        <v>2</v>
      </c>
      <c r="M94" s="12">
        <v>87086.25</v>
      </c>
      <c r="N94" t="s">
        <v>1</v>
      </c>
      <c r="O94" s="12">
        <v>14514.38</v>
      </c>
      <c r="P94" s="12">
        <v>10991.82</v>
      </c>
      <c r="Q94" s="12">
        <v>1831.97</v>
      </c>
    </row>
    <row r="95" spans="1:17" x14ac:dyDescent="0.2">
      <c r="A95" t="s">
        <v>29</v>
      </c>
      <c r="B95" t="s">
        <v>30</v>
      </c>
      <c r="C95" s="5">
        <v>51056248.170000002</v>
      </c>
      <c r="D95" s="2">
        <v>44932</v>
      </c>
      <c r="E95" s="5">
        <f t="shared" ref="E95:E105" si="4">C95*2.1</f>
        <v>107218121.15700001</v>
      </c>
      <c r="F95" s="2">
        <v>44936</v>
      </c>
      <c r="G95" s="3" t="s">
        <v>379</v>
      </c>
      <c r="H95" t="s">
        <v>88</v>
      </c>
      <c r="I95" s="7">
        <v>35333</v>
      </c>
      <c r="J95" t="s">
        <v>22</v>
      </c>
      <c r="K95" s="12">
        <v>5.08</v>
      </c>
      <c r="L95" t="s">
        <v>2</v>
      </c>
      <c r="M95" s="12">
        <v>73608.289999999994</v>
      </c>
      <c r="N95" t="s">
        <v>1</v>
      </c>
      <c r="O95" s="12">
        <v>14489.82</v>
      </c>
      <c r="P95" s="12">
        <v>13897.8</v>
      </c>
      <c r="Q95" s="12">
        <v>2735.79</v>
      </c>
    </row>
    <row r="96" spans="1:17" x14ac:dyDescent="0.2">
      <c r="A96" t="s">
        <v>29</v>
      </c>
      <c r="B96" t="s">
        <v>30</v>
      </c>
      <c r="C96" s="5">
        <v>51056248.240000002</v>
      </c>
      <c r="D96" s="2">
        <v>44935</v>
      </c>
      <c r="E96" s="5">
        <f t="shared" si="4"/>
        <v>107218121.30400001</v>
      </c>
      <c r="F96" s="2">
        <v>44936</v>
      </c>
      <c r="G96" s="3" t="s">
        <v>380</v>
      </c>
      <c r="H96" t="s">
        <v>89</v>
      </c>
      <c r="I96" s="7">
        <v>49689</v>
      </c>
      <c r="J96" t="s">
        <v>20</v>
      </c>
      <c r="K96" s="12">
        <v>3057.1</v>
      </c>
      <c r="L96" t="s">
        <v>0</v>
      </c>
      <c r="M96" s="12">
        <v>51053.57</v>
      </c>
      <c r="N96" t="s">
        <v>1</v>
      </c>
      <c r="O96" s="12">
        <v>16.7</v>
      </c>
      <c r="P96" s="12">
        <v>9639.2999999999993</v>
      </c>
      <c r="Q96" s="12">
        <v>3.15</v>
      </c>
    </row>
    <row r="97" spans="1:17" x14ac:dyDescent="0.2">
      <c r="A97" t="s">
        <v>29</v>
      </c>
      <c r="B97" t="s">
        <v>30</v>
      </c>
      <c r="C97" s="5">
        <v>51056249.509999998</v>
      </c>
      <c r="D97" s="2">
        <v>44935</v>
      </c>
      <c r="E97" s="5">
        <f t="shared" si="4"/>
        <v>107218123.971</v>
      </c>
      <c r="F97" s="2">
        <v>44936</v>
      </c>
      <c r="G97" s="3" t="s">
        <v>323</v>
      </c>
      <c r="H97" t="s">
        <v>33</v>
      </c>
      <c r="I97" s="7">
        <v>49689</v>
      </c>
      <c r="J97" t="s">
        <v>20</v>
      </c>
      <c r="K97" s="12">
        <v>31800</v>
      </c>
      <c r="L97" t="s">
        <v>0</v>
      </c>
      <c r="M97" s="12">
        <v>438416</v>
      </c>
      <c r="N97" t="s">
        <v>1</v>
      </c>
      <c r="O97" s="12">
        <v>13.79</v>
      </c>
      <c r="P97" s="12">
        <v>82776.23</v>
      </c>
      <c r="Q97" s="12">
        <v>2.6</v>
      </c>
    </row>
    <row r="98" spans="1:17" x14ac:dyDescent="0.2">
      <c r="A98" t="s">
        <v>29</v>
      </c>
      <c r="B98" t="s">
        <v>30</v>
      </c>
      <c r="C98" s="5">
        <v>51056267.880000003</v>
      </c>
      <c r="D98" s="2">
        <v>44936</v>
      </c>
      <c r="E98" s="5">
        <f t="shared" si="4"/>
        <v>107218162.54800001</v>
      </c>
      <c r="F98" s="2">
        <v>44936</v>
      </c>
      <c r="G98" s="3" t="s">
        <v>381</v>
      </c>
      <c r="H98" t="s">
        <v>90</v>
      </c>
      <c r="I98" s="7">
        <v>35334</v>
      </c>
      <c r="J98" t="s">
        <v>24</v>
      </c>
      <c r="K98" s="12">
        <v>3.8050000000000002</v>
      </c>
      <c r="L98" t="s">
        <v>2</v>
      </c>
      <c r="M98" s="12">
        <v>52828.73</v>
      </c>
      <c r="N98" t="s">
        <v>1</v>
      </c>
      <c r="O98" s="12">
        <v>13884.03</v>
      </c>
      <c r="P98" s="12">
        <v>9974.4599999999991</v>
      </c>
      <c r="Q98" s="12">
        <v>2621.41</v>
      </c>
    </row>
    <row r="99" spans="1:17" x14ac:dyDescent="0.2">
      <c r="A99" t="s">
        <v>29</v>
      </c>
      <c r="B99" t="s">
        <v>30</v>
      </c>
      <c r="C99" s="5">
        <v>51056277.390000001</v>
      </c>
      <c r="D99" s="2">
        <v>44910</v>
      </c>
      <c r="E99" s="5">
        <f t="shared" si="4"/>
        <v>107218182.51900001</v>
      </c>
      <c r="F99" s="2">
        <v>44936</v>
      </c>
      <c r="G99" s="3" t="s">
        <v>373</v>
      </c>
      <c r="H99" t="s">
        <v>82</v>
      </c>
      <c r="I99" s="7">
        <v>49738</v>
      </c>
      <c r="J99" t="s">
        <v>21</v>
      </c>
      <c r="K99" s="12">
        <v>10980</v>
      </c>
      <c r="L99" t="s">
        <v>0</v>
      </c>
      <c r="M99" s="12">
        <v>128100</v>
      </c>
      <c r="N99" t="s">
        <v>1</v>
      </c>
      <c r="O99" s="12">
        <v>11.67</v>
      </c>
      <c r="P99" s="12">
        <v>24186.27</v>
      </c>
      <c r="Q99" s="12">
        <v>2.2000000000000002</v>
      </c>
    </row>
    <row r="100" spans="1:17" x14ac:dyDescent="0.2">
      <c r="A100" t="s">
        <v>29</v>
      </c>
      <c r="B100" t="s">
        <v>30</v>
      </c>
      <c r="C100" s="5">
        <v>51056278.939999998</v>
      </c>
      <c r="D100" s="2">
        <v>44936</v>
      </c>
      <c r="E100" s="5">
        <f t="shared" si="4"/>
        <v>107218185.774</v>
      </c>
      <c r="F100" s="2">
        <v>44936</v>
      </c>
      <c r="G100" s="3" t="s">
        <v>351</v>
      </c>
      <c r="H100" t="s">
        <v>60</v>
      </c>
      <c r="I100" s="7">
        <v>49689</v>
      </c>
      <c r="J100" t="s">
        <v>20</v>
      </c>
      <c r="K100" s="12">
        <v>3000</v>
      </c>
      <c r="L100" t="s">
        <v>0</v>
      </c>
      <c r="M100" s="12">
        <v>41084.5</v>
      </c>
      <c r="N100" t="s">
        <v>1</v>
      </c>
      <c r="O100" s="12">
        <v>13.69</v>
      </c>
      <c r="P100" s="12">
        <v>7757.06</v>
      </c>
      <c r="Q100" s="12">
        <v>2.59</v>
      </c>
    </row>
    <row r="101" spans="1:17" x14ac:dyDescent="0.2">
      <c r="A101" t="s">
        <v>29</v>
      </c>
      <c r="B101" t="s">
        <v>30</v>
      </c>
      <c r="C101" s="5">
        <v>51056282.759999998</v>
      </c>
      <c r="D101" s="2">
        <v>44936</v>
      </c>
      <c r="E101" s="5">
        <f t="shared" si="4"/>
        <v>107218193.796</v>
      </c>
      <c r="F101" s="2">
        <v>44936</v>
      </c>
      <c r="G101" s="3" t="s">
        <v>382</v>
      </c>
      <c r="H101" t="s">
        <v>91</v>
      </c>
      <c r="I101" s="7">
        <v>49689</v>
      </c>
      <c r="J101" t="s">
        <v>20</v>
      </c>
      <c r="K101" s="12">
        <v>6780</v>
      </c>
      <c r="L101" t="s">
        <v>0</v>
      </c>
      <c r="M101" s="12">
        <v>108623.51</v>
      </c>
      <c r="N101" t="s">
        <v>1</v>
      </c>
      <c r="O101" s="12">
        <v>16.02</v>
      </c>
      <c r="P101" s="12">
        <v>20508.93</v>
      </c>
      <c r="Q101" s="12">
        <v>3.02</v>
      </c>
    </row>
    <row r="102" spans="1:17" x14ac:dyDescent="0.2">
      <c r="A102" t="s">
        <v>29</v>
      </c>
      <c r="B102" t="s">
        <v>30</v>
      </c>
      <c r="C102" s="5">
        <v>51056285.140000001</v>
      </c>
      <c r="D102" s="2">
        <v>44931</v>
      </c>
      <c r="E102" s="5">
        <f t="shared" si="4"/>
        <v>107218198.794</v>
      </c>
      <c r="F102" s="2">
        <v>44936</v>
      </c>
      <c r="G102" s="3" t="s">
        <v>383</v>
      </c>
      <c r="H102" t="s">
        <v>92</v>
      </c>
      <c r="I102" s="7">
        <v>49689</v>
      </c>
      <c r="J102" t="s">
        <v>20</v>
      </c>
      <c r="K102" s="12">
        <v>2950</v>
      </c>
      <c r="L102" t="s">
        <v>0</v>
      </c>
      <c r="M102" s="12">
        <v>50828.5</v>
      </c>
      <c r="N102" t="s">
        <v>1</v>
      </c>
      <c r="O102" s="12">
        <v>17.23</v>
      </c>
      <c r="P102" s="12">
        <v>9596.7999999999993</v>
      </c>
      <c r="Q102" s="12">
        <v>3.25</v>
      </c>
    </row>
    <row r="103" spans="1:17" x14ac:dyDescent="0.2">
      <c r="A103" t="s">
        <v>29</v>
      </c>
      <c r="B103" t="s">
        <v>30</v>
      </c>
      <c r="C103" s="5">
        <v>51056290.210000001</v>
      </c>
      <c r="D103" s="2">
        <v>44936</v>
      </c>
      <c r="E103" s="5">
        <f t="shared" si="4"/>
        <v>107218209.441</v>
      </c>
      <c r="F103" s="2">
        <v>44936</v>
      </c>
      <c r="G103" s="3" t="s">
        <v>384</v>
      </c>
      <c r="H103" t="s">
        <v>93</v>
      </c>
      <c r="I103" s="7">
        <v>49738</v>
      </c>
      <c r="J103" t="s">
        <v>21</v>
      </c>
      <c r="K103" s="12">
        <v>4200</v>
      </c>
      <c r="L103" t="s">
        <v>0</v>
      </c>
      <c r="M103" s="12">
        <v>38221.4</v>
      </c>
      <c r="N103" t="s">
        <v>1</v>
      </c>
      <c r="O103" s="12">
        <v>9.1</v>
      </c>
      <c r="P103" s="12">
        <v>7216.22</v>
      </c>
      <c r="Q103" s="12">
        <v>1.72</v>
      </c>
    </row>
    <row r="104" spans="1:17" x14ac:dyDescent="0.2">
      <c r="A104" t="s">
        <v>29</v>
      </c>
      <c r="B104" t="s">
        <v>30</v>
      </c>
      <c r="C104" s="5">
        <v>51056290.579999998</v>
      </c>
      <c r="D104" s="2">
        <v>44932</v>
      </c>
      <c r="E104" s="5">
        <f t="shared" si="4"/>
        <v>107218210.21799999</v>
      </c>
      <c r="F104" s="2">
        <v>44936</v>
      </c>
      <c r="G104" s="3" t="s">
        <v>385</v>
      </c>
      <c r="H104" t="s">
        <v>94</v>
      </c>
      <c r="I104" s="7">
        <v>49689</v>
      </c>
      <c r="J104" t="s">
        <v>20</v>
      </c>
      <c r="K104" s="12">
        <v>17960</v>
      </c>
      <c r="L104" t="s">
        <v>0</v>
      </c>
      <c r="M104" s="12">
        <v>306855.58</v>
      </c>
      <c r="N104" t="s">
        <v>1</v>
      </c>
      <c r="O104" s="12">
        <v>17.09</v>
      </c>
      <c r="P104" s="12">
        <v>57936.63</v>
      </c>
      <c r="Q104" s="12">
        <v>3.23</v>
      </c>
    </row>
    <row r="105" spans="1:17" x14ac:dyDescent="0.2">
      <c r="A105" t="s">
        <v>29</v>
      </c>
      <c r="B105" t="s">
        <v>30</v>
      </c>
      <c r="C105" s="5">
        <v>51056293.07</v>
      </c>
      <c r="D105" s="2">
        <v>44919</v>
      </c>
      <c r="E105" s="5">
        <f t="shared" si="4"/>
        <v>107218215.44700001</v>
      </c>
      <c r="F105" s="2">
        <v>44936</v>
      </c>
      <c r="G105" s="3" t="s">
        <v>386</v>
      </c>
      <c r="H105" t="s">
        <v>95</v>
      </c>
      <c r="I105" s="7">
        <v>35335</v>
      </c>
      <c r="J105" t="s">
        <v>25</v>
      </c>
      <c r="K105" s="12">
        <v>21</v>
      </c>
      <c r="L105" t="s">
        <v>2</v>
      </c>
      <c r="M105" s="12">
        <v>296668.74</v>
      </c>
      <c r="N105" t="s">
        <v>1</v>
      </c>
      <c r="O105" s="12">
        <v>14127.08</v>
      </c>
      <c r="P105" s="12">
        <v>56131.97</v>
      </c>
      <c r="Q105" s="12">
        <v>2672.95</v>
      </c>
    </row>
    <row r="106" spans="1:17" x14ac:dyDescent="0.2">
      <c r="A106" t="s">
        <v>29</v>
      </c>
      <c r="B106" t="s">
        <v>30</v>
      </c>
      <c r="C106" s="5">
        <v>51056293.07</v>
      </c>
      <c r="D106" s="2">
        <v>44932</v>
      </c>
      <c r="E106" s="5">
        <f>C106*0.089</f>
        <v>4544010.08323</v>
      </c>
      <c r="F106" s="2">
        <v>44936</v>
      </c>
      <c r="G106" s="3" t="s">
        <v>386</v>
      </c>
      <c r="H106" t="s">
        <v>95</v>
      </c>
      <c r="I106" s="7">
        <v>35335</v>
      </c>
      <c r="J106" t="s">
        <v>25</v>
      </c>
      <c r="K106" s="12">
        <v>10.8</v>
      </c>
      <c r="L106" t="s">
        <v>2</v>
      </c>
      <c r="M106" s="12">
        <v>152572.51</v>
      </c>
      <c r="N106" t="s">
        <v>1</v>
      </c>
      <c r="O106" s="12">
        <v>14127.08</v>
      </c>
      <c r="P106" s="12">
        <v>29195.93</v>
      </c>
      <c r="Q106" s="12">
        <v>2703.33</v>
      </c>
    </row>
    <row r="107" spans="1:17" x14ac:dyDescent="0.2">
      <c r="A107" t="s">
        <v>29</v>
      </c>
      <c r="B107" t="s">
        <v>30</v>
      </c>
      <c r="C107" s="5">
        <v>51056293.100000001</v>
      </c>
      <c r="D107" s="2">
        <v>44925</v>
      </c>
      <c r="E107" s="5">
        <f t="shared" ref="E107:E170" si="5">C107*2.1</f>
        <v>107218215.51000001</v>
      </c>
      <c r="F107" s="2">
        <v>44936</v>
      </c>
      <c r="G107" s="3" t="s">
        <v>326</v>
      </c>
      <c r="H107" t="s">
        <v>36</v>
      </c>
      <c r="I107" s="7">
        <v>35333</v>
      </c>
      <c r="J107" t="s">
        <v>22</v>
      </c>
      <c r="K107" s="12">
        <v>2</v>
      </c>
      <c r="L107" t="s">
        <v>2</v>
      </c>
      <c r="M107" s="12">
        <v>28061.13</v>
      </c>
      <c r="N107" t="s">
        <v>1</v>
      </c>
      <c r="O107" s="12">
        <v>14030.57</v>
      </c>
      <c r="P107" s="12">
        <v>5356</v>
      </c>
      <c r="Q107" s="12">
        <v>2678</v>
      </c>
    </row>
    <row r="108" spans="1:17" x14ac:dyDescent="0.2">
      <c r="A108" t="s">
        <v>29</v>
      </c>
      <c r="B108" t="s">
        <v>30</v>
      </c>
      <c r="C108" s="5">
        <v>51056294.520000003</v>
      </c>
      <c r="D108" s="2">
        <v>44925</v>
      </c>
      <c r="E108" s="5">
        <f t="shared" si="5"/>
        <v>107218218.49200001</v>
      </c>
      <c r="F108" s="2">
        <v>44936</v>
      </c>
      <c r="G108" s="3" t="s">
        <v>326</v>
      </c>
      <c r="H108" t="s">
        <v>36</v>
      </c>
      <c r="I108" s="7">
        <v>35333</v>
      </c>
      <c r="J108" t="s">
        <v>22</v>
      </c>
      <c r="K108" s="12">
        <v>4</v>
      </c>
      <c r="L108" t="s">
        <v>2</v>
      </c>
      <c r="M108" s="12">
        <v>56122.25</v>
      </c>
      <c r="N108" t="s">
        <v>1</v>
      </c>
      <c r="O108" s="12">
        <v>14030.56</v>
      </c>
      <c r="P108" s="12">
        <v>10711.98</v>
      </c>
      <c r="Q108" s="12">
        <v>2678</v>
      </c>
    </row>
    <row r="109" spans="1:17" x14ac:dyDescent="0.2">
      <c r="A109" t="s">
        <v>29</v>
      </c>
      <c r="B109" t="s">
        <v>30</v>
      </c>
      <c r="C109" s="5">
        <v>51056325.130000003</v>
      </c>
      <c r="D109" s="2">
        <v>44937</v>
      </c>
      <c r="E109" s="5">
        <f t="shared" si="5"/>
        <v>107218282.77300002</v>
      </c>
      <c r="F109" s="2">
        <v>44937</v>
      </c>
      <c r="G109" s="3" t="s">
        <v>387</v>
      </c>
      <c r="H109" t="s">
        <v>96</v>
      </c>
      <c r="I109" s="7">
        <v>35334</v>
      </c>
      <c r="J109" t="s">
        <v>24</v>
      </c>
      <c r="K109" s="12">
        <v>4.8</v>
      </c>
      <c r="L109" t="s">
        <v>2</v>
      </c>
      <c r="M109" s="12">
        <v>67346.7</v>
      </c>
      <c r="N109" t="s">
        <v>1</v>
      </c>
      <c r="O109" s="12">
        <v>14030.56</v>
      </c>
      <c r="P109" s="12">
        <v>8769.35</v>
      </c>
      <c r="Q109" s="12">
        <v>1826.95</v>
      </c>
    </row>
    <row r="110" spans="1:17" x14ac:dyDescent="0.2">
      <c r="A110" t="s">
        <v>29</v>
      </c>
      <c r="B110" t="s">
        <v>30</v>
      </c>
      <c r="C110" s="5">
        <v>51056325.140000001</v>
      </c>
      <c r="D110" s="2">
        <v>44937</v>
      </c>
      <c r="E110" s="5">
        <f t="shared" si="5"/>
        <v>107218282.794</v>
      </c>
      <c r="F110" s="2">
        <v>44937</v>
      </c>
      <c r="G110" s="3" t="s">
        <v>387</v>
      </c>
      <c r="H110" t="s">
        <v>96</v>
      </c>
      <c r="I110" s="7">
        <v>35334</v>
      </c>
      <c r="J110" t="s">
        <v>24</v>
      </c>
      <c r="K110" s="12">
        <v>4.8</v>
      </c>
      <c r="L110" t="s">
        <v>2</v>
      </c>
      <c r="M110" s="12">
        <v>67346.7</v>
      </c>
      <c r="N110" t="s">
        <v>1</v>
      </c>
      <c r="O110" s="12">
        <v>14030.56</v>
      </c>
      <c r="P110" s="12">
        <v>8769.35</v>
      </c>
      <c r="Q110" s="12">
        <v>1826.95</v>
      </c>
    </row>
    <row r="111" spans="1:17" x14ac:dyDescent="0.2">
      <c r="A111" t="s">
        <v>29</v>
      </c>
      <c r="B111" t="s">
        <v>30</v>
      </c>
      <c r="C111" s="5">
        <v>51056325.770000003</v>
      </c>
      <c r="D111" s="2">
        <v>44932</v>
      </c>
      <c r="E111" s="5">
        <f t="shared" si="5"/>
        <v>107218284.11700001</v>
      </c>
      <c r="F111" s="2">
        <v>44937</v>
      </c>
      <c r="G111" s="3" t="s">
        <v>388</v>
      </c>
      <c r="H111" t="s">
        <v>97</v>
      </c>
      <c r="I111" s="7">
        <v>49689</v>
      </c>
      <c r="J111" t="s">
        <v>20</v>
      </c>
      <c r="K111" s="12">
        <v>3675</v>
      </c>
      <c r="L111" t="s">
        <v>0</v>
      </c>
      <c r="M111" s="12">
        <v>59710.67</v>
      </c>
      <c r="N111" t="s">
        <v>1</v>
      </c>
      <c r="O111" s="12">
        <v>16.25</v>
      </c>
      <c r="P111" s="12">
        <v>11396.91</v>
      </c>
      <c r="Q111" s="12">
        <v>3.1</v>
      </c>
    </row>
    <row r="112" spans="1:17" x14ac:dyDescent="0.2">
      <c r="A112" t="s">
        <v>29</v>
      </c>
      <c r="B112" t="s">
        <v>30</v>
      </c>
      <c r="C112" s="5">
        <v>51056326.620000005</v>
      </c>
      <c r="D112" s="2">
        <v>44937</v>
      </c>
      <c r="E112" s="5">
        <f t="shared" si="5"/>
        <v>107218285.90200001</v>
      </c>
      <c r="F112" s="2">
        <v>44937</v>
      </c>
      <c r="G112" s="3" t="s">
        <v>366</v>
      </c>
      <c r="H112" t="s">
        <v>75</v>
      </c>
      <c r="I112" s="7">
        <v>49738</v>
      </c>
      <c r="J112" t="s">
        <v>21</v>
      </c>
      <c r="K112" s="12">
        <v>15000</v>
      </c>
      <c r="L112" t="s">
        <v>0</v>
      </c>
      <c r="M112" s="12">
        <v>135620</v>
      </c>
      <c r="N112" t="s">
        <v>1</v>
      </c>
      <c r="O112" s="12">
        <v>9.0399999999999991</v>
      </c>
      <c r="P112" s="12">
        <v>25885.63</v>
      </c>
      <c r="Q112" s="12">
        <v>1.73</v>
      </c>
    </row>
    <row r="113" spans="1:17" x14ac:dyDescent="0.2">
      <c r="A113" t="s">
        <v>29</v>
      </c>
      <c r="B113" t="s">
        <v>30</v>
      </c>
      <c r="C113" s="5">
        <v>51056326.660000004</v>
      </c>
      <c r="D113" s="2">
        <v>44937</v>
      </c>
      <c r="E113" s="5">
        <f t="shared" si="5"/>
        <v>107218285.98600002</v>
      </c>
      <c r="F113" s="2">
        <v>44937</v>
      </c>
      <c r="G113" s="3" t="s">
        <v>389</v>
      </c>
      <c r="H113" t="s">
        <v>98</v>
      </c>
      <c r="I113" s="7">
        <v>49738</v>
      </c>
      <c r="J113" t="s">
        <v>21</v>
      </c>
      <c r="K113" s="12">
        <v>7680</v>
      </c>
      <c r="L113" t="s">
        <v>0</v>
      </c>
      <c r="M113" s="12">
        <v>69272.320000000007</v>
      </c>
      <c r="N113" t="s">
        <v>1</v>
      </c>
      <c r="O113" s="12">
        <v>9.02</v>
      </c>
      <c r="P113" s="12">
        <v>13221.93</v>
      </c>
      <c r="Q113" s="12">
        <v>1.72</v>
      </c>
    </row>
    <row r="114" spans="1:17" x14ac:dyDescent="0.2">
      <c r="A114" t="s">
        <v>29</v>
      </c>
      <c r="B114" t="s">
        <v>30</v>
      </c>
      <c r="C114" s="5">
        <v>51056326.920000002</v>
      </c>
      <c r="D114" s="2">
        <v>44932</v>
      </c>
      <c r="E114" s="5">
        <f t="shared" si="5"/>
        <v>107218286.53200001</v>
      </c>
      <c r="F114" s="2">
        <v>44937</v>
      </c>
      <c r="G114" s="3" t="s">
        <v>390</v>
      </c>
      <c r="H114" t="s">
        <v>99</v>
      </c>
      <c r="I114" s="7">
        <v>49689</v>
      </c>
      <c r="J114" t="s">
        <v>20</v>
      </c>
      <c r="K114" s="12">
        <v>3592</v>
      </c>
      <c r="L114" t="s">
        <v>0</v>
      </c>
      <c r="M114" s="12">
        <v>60704.800000000003</v>
      </c>
      <c r="N114" t="s">
        <v>1</v>
      </c>
      <c r="O114" s="12">
        <v>16.899999999999999</v>
      </c>
      <c r="P114" s="12">
        <v>11586.65</v>
      </c>
      <c r="Q114" s="12">
        <v>3.23</v>
      </c>
    </row>
    <row r="115" spans="1:17" x14ac:dyDescent="0.2">
      <c r="A115" t="s">
        <v>29</v>
      </c>
      <c r="B115" t="s">
        <v>30</v>
      </c>
      <c r="C115" s="5">
        <v>51056326.990000002</v>
      </c>
      <c r="D115" s="2">
        <v>44919</v>
      </c>
      <c r="E115" s="5">
        <f t="shared" si="5"/>
        <v>107218286.67900001</v>
      </c>
      <c r="F115" s="2">
        <v>44937</v>
      </c>
      <c r="G115" s="3" t="s">
        <v>340</v>
      </c>
      <c r="H115" t="s">
        <v>50</v>
      </c>
      <c r="I115" s="7">
        <v>35334</v>
      </c>
      <c r="J115" t="s">
        <v>24</v>
      </c>
      <c r="K115" s="12">
        <v>15</v>
      </c>
      <c r="L115" t="s">
        <v>2</v>
      </c>
      <c r="M115" s="12">
        <v>208038.89</v>
      </c>
      <c r="N115" t="s">
        <v>1</v>
      </c>
      <c r="O115" s="12">
        <v>13869.26</v>
      </c>
      <c r="P115" s="12">
        <v>38700.559999999998</v>
      </c>
      <c r="Q115" s="12">
        <v>2580.04</v>
      </c>
    </row>
    <row r="116" spans="1:17" x14ac:dyDescent="0.2">
      <c r="A116" t="s">
        <v>29</v>
      </c>
      <c r="B116" t="s">
        <v>30</v>
      </c>
      <c r="C116" s="5">
        <v>51056327.82</v>
      </c>
      <c r="D116" s="2">
        <v>44919</v>
      </c>
      <c r="E116" s="5">
        <f t="shared" si="5"/>
        <v>107218288.42200001</v>
      </c>
      <c r="F116" s="2">
        <v>44937</v>
      </c>
      <c r="G116" s="3" t="s">
        <v>340</v>
      </c>
      <c r="H116" t="s">
        <v>50</v>
      </c>
      <c r="I116" s="7">
        <v>35334</v>
      </c>
      <c r="J116" t="s">
        <v>24</v>
      </c>
      <c r="K116" s="12">
        <v>15</v>
      </c>
      <c r="L116" t="s">
        <v>2</v>
      </c>
      <c r="M116" s="12">
        <v>208038.89</v>
      </c>
      <c r="N116" t="s">
        <v>1</v>
      </c>
      <c r="O116" s="12">
        <v>13869.26</v>
      </c>
      <c r="P116" s="12">
        <v>38735.22</v>
      </c>
      <c r="Q116" s="12">
        <v>2582.35</v>
      </c>
    </row>
    <row r="117" spans="1:17" x14ac:dyDescent="0.2">
      <c r="A117" t="s">
        <v>29</v>
      </c>
      <c r="B117" t="s">
        <v>30</v>
      </c>
      <c r="C117" s="5">
        <v>51056327.840000004</v>
      </c>
      <c r="D117" s="2">
        <v>44910</v>
      </c>
      <c r="E117" s="5">
        <f t="shared" si="5"/>
        <v>107218288.46400002</v>
      </c>
      <c r="F117" s="2">
        <v>44937</v>
      </c>
      <c r="G117" s="3" t="s">
        <v>373</v>
      </c>
      <c r="H117" t="s">
        <v>82</v>
      </c>
      <c r="I117" s="7">
        <v>49738</v>
      </c>
      <c r="J117" t="s">
        <v>21</v>
      </c>
      <c r="K117" s="12">
        <v>24300</v>
      </c>
      <c r="L117" t="s">
        <v>0</v>
      </c>
      <c r="M117" s="12">
        <v>283500</v>
      </c>
      <c r="N117" t="s">
        <v>1</v>
      </c>
      <c r="O117" s="12">
        <v>11.67</v>
      </c>
      <c r="P117" s="12">
        <v>54110.61</v>
      </c>
      <c r="Q117" s="12">
        <v>2.23</v>
      </c>
    </row>
    <row r="118" spans="1:17" x14ac:dyDescent="0.2">
      <c r="A118" t="s">
        <v>29</v>
      </c>
      <c r="B118" t="s">
        <v>30</v>
      </c>
      <c r="C118" s="5">
        <v>51056328.950000003</v>
      </c>
      <c r="D118" s="2">
        <v>44935</v>
      </c>
      <c r="E118" s="5">
        <f t="shared" si="5"/>
        <v>107218290.79500002</v>
      </c>
      <c r="F118" s="2">
        <v>44937</v>
      </c>
      <c r="G118" s="3" t="s">
        <v>391</v>
      </c>
      <c r="H118" t="s">
        <v>100</v>
      </c>
      <c r="I118" s="7">
        <v>49689</v>
      </c>
      <c r="J118" t="s">
        <v>20</v>
      </c>
      <c r="K118" s="12">
        <v>5161.5</v>
      </c>
      <c r="L118" t="s">
        <v>0</v>
      </c>
      <c r="M118" s="12">
        <v>76568.27</v>
      </c>
      <c r="N118" t="s">
        <v>1</v>
      </c>
      <c r="O118" s="12">
        <v>14.83</v>
      </c>
      <c r="P118" s="12">
        <v>14614.5</v>
      </c>
      <c r="Q118" s="12">
        <v>2.83</v>
      </c>
    </row>
    <row r="119" spans="1:17" x14ac:dyDescent="0.2">
      <c r="A119" t="s">
        <v>29</v>
      </c>
      <c r="B119" t="s">
        <v>30</v>
      </c>
      <c r="C119" s="5">
        <v>51056330.149999999</v>
      </c>
      <c r="D119" s="2">
        <v>44935</v>
      </c>
      <c r="E119" s="5">
        <f t="shared" si="5"/>
        <v>107218293.315</v>
      </c>
      <c r="F119" s="2">
        <v>44937</v>
      </c>
      <c r="G119" s="3" t="s">
        <v>392</v>
      </c>
      <c r="H119" t="s">
        <v>57</v>
      </c>
      <c r="I119" s="7">
        <v>35334</v>
      </c>
      <c r="J119" t="s">
        <v>24</v>
      </c>
      <c r="K119" s="12">
        <v>13.8</v>
      </c>
      <c r="L119" t="s">
        <v>2</v>
      </c>
      <c r="M119" s="12">
        <v>201233.1</v>
      </c>
      <c r="N119" t="s">
        <v>1</v>
      </c>
      <c r="O119" s="12">
        <v>14582.11</v>
      </c>
      <c r="P119" s="12">
        <v>37985.9</v>
      </c>
      <c r="Q119" s="12">
        <v>2752.6</v>
      </c>
    </row>
    <row r="120" spans="1:17" x14ac:dyDescent="0.2">
      <c r="A120" t="s">
        <v>29</v>
      </c>
      <c r="B120" t="s">
        <v>30</v>
      </c>
      <c r="C120" s="5">
        <v>51056331.020000003</v>
      </c>
      <c r="D120" s="2">
        <v>44936</v>
      </c>
      <c r="E120" s="5">
        <f t="shared" si="5"/>
        <v>107218295.142</v>
      </c>
      <c r="F120" s="2">
        <v>44937</v>
      </c>
      <c r="G120" s="3" t="s">
        <v>393</v>
      </c>
      <c r="H120" t="s">
        <v>101</v>
      </c>
      <c r="I120" s="7">
        <v>49689</v>
      </c>
      <c r="J120" t="s">
        <v>20</v>
      </c>
      <c r="K120" s="12">
        <v>1945</v>
      </c>
      <c r="L120" t="s">
        <v>0</v>
      </c>
      <c r="M120" s="12">
        <v>30517.05</v>
      </c>
      <c r="N120" t="s">
        <v>1</v>
      </c>
      <c r="O120" s="12">
        <v>15.69</v>
      </c>
      <c r="P120" s="12">
        <v>5824.75</v>
      </c>
      <c r="Q120" s="12">
        <v>2.99</v>
      </c>
    </row>
    <row r="121" spans="1:17" x14ac:dyDescent="0.2">
      <c r="A121" t="s">
        <v>29</v>
      </c>
      <c r="B121" t="s">
        <v>30</v>
      </c>
      <c r="C121" s="5">
        <v>51056331.079999998</v>
      </c>
      <c r="D121" s="2">
        <v>44919</v>
      </c>
      <c r="E121" s="5">
        <f t="shared" si="5"/>
        <v>107218295.26800001</v>
      </c>
      <c r="F121" s="2">
        <v>44937</v>
      </c>
      <c r="G121" s="3" t="s">
        <v>340</v>
      </c>
      <c r="H121" t="s">
        <v>50</v>
      </c>
      <c r="I121" s="7">
        <v>35334</v>
      </c>
      <c r="J121" t="s">
        <v>24</v>
      </c>
      <c r="K121" s="12">
        <v>15</v>
      </c>
      <c r="L121" t="s">
        <v>2</v>
      </c>
      <c r="M121" s="12">
        <v>221489.36</v>
      </c>
      <c r="N121" t="s">
        <v>1</v>
      </c>
      <c r="O121" s="12">
        <v>14765.96</v>
      </c>
      <c r="P121" s="12">
        <v>41834.879999999997</v>
      </c>
      <c r="Q121" s="12">
        <v>2788.99</v>
      </c>
    </row>
    <row r="122" spans="1:17" x14ac:dyDescent="0.2">
      <c r="A122" t="s">
        <v>29</v>
      </c>
      <c r="B122" t="s">
        <v>30</v>
      </c>
      <c r="C122" s="5">
        <v>51056331.090000004</v>
      </c>
      <c r="D122" s="2">
        <v>44919</v>
      </c>
      <c r="E122" s="5">
        <f t="shared" si="5"/>
        <v>107218295.28900002</v>
      </c>
      <c r="F122" s="2">
        <v>44937</v>
      </c>
      <c r="G122" s="3" t="s">
        <v>340</v>
      </c>
      <c r="H122" t="s">
        <v>50</v>
      </c>
      <c r="I122" s="7">
        <v>35334</v>
      </c>
      <c r="J122" t="s">
        <v>24</v>
      </c>
      <c r="K122" s="12">
        <v>17.579999999999998</v>
      </c>
      <c r="L122" t="s">
        <v>2</v>
      </c>
      <c r="M122" s="12">
        <v>259585.54</v>
      </c>
      <c r="N122" t="s">
        <v>1</v>
      </c>
      <c r="O122" s="12">
        <v>14765.96</v>
      </c>
      <c r="P122" s="12">
        <v>49546.77</v>
      </c>
      <c r="Q122" s="12">
        <v>2818.36</v>
      </c>
    </row>
    <row r="123" spans="1:17" x14ac:dyDescent="0.2">
      <c r="A123" t="s">
        <v>29</v>
      </c>
      <c r="B123" t="s">
        <v>30</v>
      </c>
      <c r="C123" s="5">
        <v>51056333.060000002</v>
      </c>
      <c r="D123" s="2">
        <v>44919</v>
      </c>
      <c r="E123" s="5">
        <f t="shared" si="5"/>
        <v>107218299.42600001</v>
      </c>
      <c r="F123" s="2">
        <v>44937</v>
      </c>
      <c r="G123" s="3" t="s">
        <v>394</v>
      </c>
      <c r="H123" t="s">
        <v>102</v>
      </c>
      <c r="I123" s="7">
        <v>35334</v>
      </c>
      <c r="J123" t="s">
        <v>24</v>
      </c>
      <c r="K123" s="12">
        <v>30</v>
      </c>
      <c r="L123" t="s">
        <v>2</v>
      </c>
      <c r="M123" s="12">
        <v>406402.5</v>
      </c>
      <c r="N123" t="s">
        <v>1</v>
      </c>
      <c r="O123" s="12">
        <v>13546.75</v>
      </c>
      <c r="P123" s="12">
        <v>76731.839999999997</v>
      </c>
      <c r="Q123" s="12">
        <v>2557.73</v>
      </c>
    </row>
    <row r="124" spans="1:17" x14ac:dyDescent="0.2">
      <c r="A124" t="s">
        <v>29</v>
      </c>
      <c r="B124" t="s">
        <v>30</v>
      </c>
      <c r="C124" s="5">
        <v>51056356.990000002</v>
      </c>
      <c r="D124" s="2">
        <v>44299</v>
      </c>
      <c r="E124" s="5">
        <f t="shared" si="5"/>
        <v>107218349.67900001</v>
      </c>
      <c r="F124" s="2">
        <v>44938</v>
      </c>
      <c r="G124" s="3" t="s">
        <v>395</v>
      </c>
      <c r="H124" t="s">
        <v>103</v>
      </c>
      <c r="I124" s="7">
        <v>49689</v>
      </c>
      <c r="J124" t="s">
        <v>20</v>
      </c>
      <c r="K124" s="12">
        <v>30000</v>
      </c>
      <c r="L124" t="s">
        <v>0</v>
      </c>
      <c r="M124" s="12">
        <v>380000</v>
      </c>
      <c r="N124" t="s">
        <v>1</v>
      </c>
      <c r="O124" s="12">
        <v>12.67</v>
      </c>
      <c r="P124" s="12">
        <v>73053.039999999994</v>
      </c>
      <c r="Q124" s="12">
        <v>2.44</v>
      </c>
    </row>
    <row r="125" spans="1:17" x14ac:dyDescent="0.2">
      <c r="A125" t="s">
        <v>29</v>
      </c>
      <c r="B125" t="s">
        <v>30</v>
      </c>
      <c r="C125" s="5">
        <v>51056361.700000003</v>
      </c>
      <c r="D125" s="2">
        <v>44937</v>
      </c>
      <c r="E125" s="5">
        <f t="shared" si="5"/>
        <v>107218359.57000001</v>
      </c>
      <c r="F125" s="2">
        <v>44938</v>
      </c>
      <c r="G125" s="3" t="s">
        <v>396</v>
      </c>
      <c r="H125" t="s">
        <v>104</v>
      </c>
      <c r="I125" s="7">
        <v>49689</v>
      </c>
      <c r="J125" t="s">
        <v>20</v>
      </c>
      <c r="K125" s="12">
        <v>4627</v>
      </c>
      <c r="L125" t="s">
        <v>0</v>
      </c>
      <c r="M125" s="12">
        <v>59008.13</v>
      </c>
      <c r="N125" t="s">
        <v>1</v>
      </c>
      <c r="O125" s="12">
        <v>12.75</v>
      </c>
      <c r="P125" s="12">
        <v>11344.01</v>
      </c>
      <c r="Q125" s="12">
        <v>2.4500000000000002</v>
      </c>
    </row>
    <row r="126" spans="1:17" x14ac:dyDescent="0.2">
      <c r="A126" t="s">
        <v>29</v>
      </c>
      <c r="B126" t="s">
        <v>30</v>
      </c>
      <c r="C126" s="5">
        <v>51056364.600000001</v>
      </c>
      <c r="D126" s="2">
        <v>44919</v>
      </c>
      <c r="E126" s="5">
        <f t="shared" si="5"/>
        <v>107218365.66000001</v>
      </c>
      <c r="F126" s="2">
        <v>44938</v>
      </c>
      <c r="G126" s="3" t="s">
        <v>340</v>
      </c>
      <c r="H126" t="s">
        <v>50</v>
      </c>
      <c r="I126" s="7">
        <v>35334</v>
      </c>
      <c r="J126" t="s">
        <v>24</v>
      </c>
      <c r="K126" s="12">
        <v>15</v>
      </c>
      <c r="L126" t="s">
        <v>2</v>
      </c>
      <c r="M126" s="12">
        <v>221489.36</v>
      </c>
      <c r="N126" t="s">
        <v>1</v>
      </c>
      <c r="O126" s="12">
        <v>14765.96</v>
      </c>
      <c r="P126" s="12">
        <v>42282.04</v>
      </c>
      <c r="Q126" s="12">
        <v>2818.8</v>
      </c>
    </row>
    <row r="127" spans="1:17" x14ac:dyDescent="0.2">
      <c r="A127" t="s">
        <v>29</v>
      </c>
      <c r="B127" t="s">
        <v>30</v>
      </c>
      <c r="C127" s="5">
        <v>51056365.410000004</v>
      </c>
      <c r="D127" s="2">
        <v>44938</v>
      </c>
      <c r="E127" s="5">
        <f t="shared" si="5"/>
        <v>107218367.36100002</v>
      </c>
      <c r="F127" s="2">
        <v>44938</v>
      </c>
      <c r="G127" s="3" t="s">
        <v>397</v>
      </c>
      <c r="H127" t="s">
        <v>105</v>
      </c>
      <c r="I127" s="7">
        <v>35334</v>
      </c>
      <c r="J127" t="s">
        <v>24</v>
      </c>
      <c r="K127" s="12">
        <v>18</v>
      </c>
      <c r="L127" t="s">
        <v>2</v>
      </c>
      <c r="M127" s="12">
        <v>243841.5</v>
      </c>
      <c r="N127" t="s">
        <v>1</v>
      </c>
      <c r="O127" s="12">
        <v>13546.75</v>
      </c>
      <c r="P127" s="12">
        <v>43289.29</v>
      </c>
      <c r="Q127" s="12">
        <v>2404.96</v>
      </c>
    </row>
    <row r="128" spans="1:17" x14ac:dyDescent="0.2">
      <c r="A128" t="s">
        <v>29</v>
      </c>
      <c r="B128" t="s">
        <v>30</v>
      </c>
      <c r="C128" s="5">
        <v>51056365.800000004</v>
      </c>
      <c r="D128" s="2">
        <v>44937</v>
      </c>
      <c r="E128" s="5">
        <f t="shared" si="5"/>
        <v>107218368.18000001</v>
      </c>
      <c r="F128" s="2">
        <v>44938</v>
      </c>
      <c r="G128" s="3" t="s">
        <v>398</v>
      </c>
      <c r="H128" t="s">
        <v>104</v>
      </c>
      <c r="I128" s="7">
        <v>49689</v>
      </c>
      <c r="J128" t="s">
        <v>20</v>
      </c>
      <c r="K128" s="12">
        <v>5824</v>
      </c>
      <c r="L128" t="s">
        <v>0</v>
      </c>
      <c r="M128" s="12">
        <v>74273.47</v>
      </c>
      <c r="N128" t="s">
        <v>1</v>
      </c>
      <c r="O128" s="12">
        <v>12.75</v>
      </c>
      <c r="P128" s="12">
        <v>14278.69</v>
      </c>
      <c r="Q128" s="12">
        <v>2.4500000000000002</v>
      </c>
    </row>
    <row r="129" spans="1:17" x14ac:dyDescent="0.2">
      <c r="A129" t="s">
        <v>29</v>
      </c>
      <c r="B129" t="s">
        <v>30</v>
      </c>
      <c r="C129" s="5">
        <v>51056372.200000003</v>
      </c>
      <c r="D129" s="2">
        <v>44938</v>
      </c>
      <c r="E129" s="5">
        <f t="shared" si="5"/>
        <v>107218381.62</v>
      </c>
      <c r="F129" s="2">
        <v>44938</v>
      </c>
      <c r="G129" s="3" t="s">
        <v>366</v>
      </c>
      <c r="H129" t="s">
        <v>75</v>
      </c>
      <c r="I129" s="7">
        <v>49738</v>
      </c>
      <c r="J129" t="s">
        <v>21</v>
      </c>
      <c r="K129" s="12">
        <v>13800</v>
      </c>
      <c r="L129" t="s">
        <v>0</v>
      </c>
      <c r="M129" s="12">
        <v>123424.9</v>
      </c>
      <c r="N129" t="s">
        <v>1</v>
      </c>
      <c r="O129" s="12">
        <v>8.94</v>
      </c>
      <c r="P129" s="12">
        <v>23727.8</v>
      </c>
      <c r="Q129" s="12">
        <v>1.72</v>
      </c>
    </row>
    <row r="130" spans="1:17" x14ac:dyDescent="0.2">
      <c r="A130" t="s">
        <v>29</v>
      </c>
      <c r="B130" t="s">
        <v>30</v>
      </c>
      <c r="C130" s="5">
        <v>51056374.5</v>
      </c>
      <c r="D130" s="2">
        <v>44939</v>
      </c>
      <c r="E130" s="5">
        <f t="shared" si="5"/>
        <v>107218386.45</v>
      </c>
      <c r="F130" s="2">
        <v>44938</v>
      </c>
      <c r="G130" s="3" t="s">
        <v>387</v>
      </c>
      <c r="H130" t="s">
        <v>96</v>
      </c>
      <c r="I130" s="7">
        <v>35334</v>
      </c>
      <c r="J130" t="s">
        <v>24</v>
      </c>
      <c r="K130" s="12">
        <v>8.4</v>
      </c>
      <c r="L130" t="s">
        <v>2</v>
      </c>
      <c r="M130" s="12">
        <v>117856.72</v>
      </c>
      <c r="N130" t="s">
        <v>1</v>
      </c>
      <c r="O130" s="12">
        <v>14030.56</v>
      </c>
      <c r="P130" s="12">
        <v>15625.76</v>
      </c>
      <c r="Q130" s="12">
        <v>1860.21</v>
      </c>
    </row>
    <row r="131" spans="1:17" x14ac:dyDescent="0.2">
      <c r="A131" t="s">
        <v>29</v>
      </c>
      <c r="B131" t="s">
        <v>30</v>
      </c>
      <c r="C131" s="5">
        <v>51056375.090000004</v>
      </c>
      <c r="D131" s="2">
        <v>44938</v>
      </c>
      <c r="E131" s="5">
        <f t="shared" si="5"/>
        <v>107218387.68900001</v>
      </c>
      <c r="F131" s="2">
        <v>44938</v>
      </c>
      <c r="G131" s="3" t="s">
        <v>399</v>
      </c>
      <c r="H131" t="s">
        <v>106</v>
      </c>
      <c r="I131" s="7">
        <v>49689</v>
      </c>
      <c r="J131" t="s">
        <v>20</v>
      </c>
      <c r="K131" s="12">
        <v>12910</v>
      </c>
      <c r="L131" t="s">
        <v>0</v>
      </c>
      <c r="M131" s="12">
        <v>169204.92</v>
      </c>
      <c r="N131" t="s">
        <v>1</v>
      </c>
      <c r="O131" s="12">
        <v>13.11</v>
      </c>
      <c r="P131" s="12">
        <v>32528.77</v>
      </c>
      <c r="Q131" s="12">
        <v>2.52</v>
      </c>
    </row>
    <row r="132" spans="1:17" x14ac:dyDescent="0.2">
      <c r="A132" t="s">
        <v>29</v>
      </c>
      <c r="B132" t="s">
        <v>30</v>
      </c>
      <c r="C132" s="5">
        <v>51056376.140000001</v>
      </c>
      <c r="D132" s="2">
        <v>44938</v>
      </c>
      <c r="E132" s="5">
        <f t="shared" si="5"/>
        <v>107218389.89400001</v>
      </c>
      <c r="F132" s="2">
        <v>44938</v>
      </c>
      <c r="G132" s="3" t="s">
        <v>366</v>
      </c>
      <c r="H132" t="s">
        <v>75</v>
      </c>
      <c r="I132" s="7">
        <v>49738</v>
      </c>
      <c r="J132" t="s">
        <v>21</v>
      </c>
      <c r="K132" s="12">
        <v>6000</v>
      </c>
      <c r="L132" t="s">
        <v>0</v>
      </c>
      <c r="M132" s="12">
        <v>54004</v>
      </c>
      <c r="N132" t="s">
        <v>1</v>
      </c>
      <c r="O132" s="12">
        <v>9</v>
      </c>
      <c r="P132" s="12">
        <v>10381.99</v>
      </c>
      <c r="Q132" s="12">
        <v>1.73</v>
      </c>
    </row>
    <row r="133" spans="1:17" x14ac:dyDescent="0.2">
      <c r="A133" t="s">
        <v>29</v>
      </c>
      <c r="B133" t="s">
        <v>30</v>
      </c>
      <c r="C133" s="5">
        <v>51056376.149999999</v>
      </c>
      <c r="D133" s="2">
        <v>44938</v>
      </c>
      <c r="E133" s="5">
        <f t="shared" si="5"/>
        <v>107218389.91500001</v>
      </c>
      <c r="F133" s="2">
        <v>44938</v>
      </c>
      <c r="G133" s="3" t="s">
        <v>400</v>
      </c>
      <c r="H133" t="s">
        <v>107</v>
      </c>
      <c r="I133" s="7">
        <v>49738</v>
      </c>
      <c r="J133" t="s">
        <v>21</v>
      </c>
      <c r="K133" s="12">
        <v>12000</v>
      </c>
      <c r="L133" t="s">
        <v>0</v>
      </c>
      <c r="M133" s="12">
        <v>107348</v>
      </c>
      <c r="N133" t="s">
        <v>1</v>
      </c>
      <c r="O133" s="12">
        <v>8.9499999999999993</v>
      </c>
      <c r="P133" s="12">
        <v>20637.099999999999</v>
      </c>
      <c r="Q133" s="12">
        <v>1.72</v>
      </c>
    </row>
    <row r="134" spans="1:17" x14ac:dyDescent="0.2">
      <c r="A134" t="s">
        <v>29</v>
      </c>
      <c r="B134" t="s">
        <v>30</v>
      </c>
      <c r="C134" s="5">
        <v>51056378.240000002</v>
      </c>
      <c r="D134" s="2">
        <v>44925</v>
      </c>
      <c r="E134" s="5">
        <f t="shared" si="5"/>
        <v>107218394.30400001</v>
      </c>
      <c r="F134" s="2">
        <v>44938</v>
      </c>
      <c r="G134" s="3" t="s">
        <v>326</v>
      </c>
      <c r="H134" t="s">
        <v>36</v>
      </c>
      <c r="I134" s="7">
        <v>35333</v>
      </c>
      <c r="J134" t="s">
        <v>22</v>
      </c>
      <c r="K134" s="12">
        <v>3.69</v>
      </c>
      <c r="L134" t="s">
        <v>2</v>
      </c>
      <c r="M134" s="12">
        <v>51772.78</v>
      </c>
      <c r="N134" t="s">
        <v>1</v>
      </c>
      <c r="O134" s="12">
        <v>14030.56</v>
      </c>
      <c r="P134" s="12">
        <v>9953.0499999999993</v>
      </c>
      <c r="Q134" s="12">
        <v>2697.3</v>
      </c>
    </row>
    <row r="135" spans="1:17" x14ac:dyDescent="0.2">
      <c r="A135" t="s">
        <v>29</v>
      </c>
      <c r="B135" t="s">
        <v>30</v>
      </c>
      <c r="C135" s="5">
        <v>51056390.990000002</v>
      </c>
      <c r="D135" s="2">
        <v>44937</v>
      </c>
      <c r="E135" s="5">
        <f t="shared" si="5"/>
        <v>107218421.07900001</v>
      </c>
      <c r="F135" s="2">
        <v>44939</v>
      </c>
      <c r="G135" s="3" t="s">
        <v>401</v>
      </c>
      <c r="H135" t="s">
        <v>108</v>
      </c>
      <c r="I135" s="7">
        <v>49689</v>
      </c>
      <c r="J135" t="s">
        <v>20</v>
      </c>
      <c r="K135" s="12">
        <v>21260.400000000001</v>
      </c>
      <c r="L135" t="s">
        <v>0</v>
      </c>
      <c r="M135" s="12">
        <v>267625.92</v>
      </c>
      <c r="N135" t="s">
        <v>1</v>
      </c>
      <c r="O135" s="12">
        <v>12.59</v>
      </c>
      <c r="P135" s="12">
        <v>52070.34</v>
      </c>
      <c r="Q135" s="12">
        <v>2.4500000000000002</v>
      </c>
    </row>
    <row r="136" spans="1:17" x14ac:dyDescent="0.2">
      <c r="A136" t="s">
        <v>29</v>
      </c>
      <c r="B136" t="s">
        <v>30</v>
      </c>
      <c r="C136" s="5">
        <v>51056391.079999998</v>
      </c>
      <c r="D136" s="2">
        <v>44938</v>
      </c>
      <c r="E136" s="5">
        <f t="shared" si="5"/>
        <v>107218421.26800001</v>
      </c>
      <c r="F136" s="2">
        <v>44939</v>
      </c>
      <c r="G136" s="3" t="s">
        <v>386</v>
      </c>
      <c r="H136" t="s">
        <v>95</v>
      </c>
      <c r="I136" s="7">
        <v>49738</v>
      </c>
      <c r="J136" t="s">
        <v>21</v>
      </c>
      <c r="K136" s="12">
        <v>36420</v>
      </c>
      <c r="L136" t="s">
        <v>0</v>
      </c>
      <c r="M136" s="12">
        <v>330845.34999999998</v>
      </c>
      <c r="N136" t="s">
        <v>1</v>
      </c>
      <c r="O136" s="12">
        <v>9.08</v>
      </c>
      <c r="P136" s="12">
        <v>64370.559999999998</v>
      </c>
      <c r="Q136" s="12">
        <v>1.77</v>
      </c>
    </row>
    <row r="137" spans="1:17" x14ac:dyDescent="0.2">
      <c r="A137" t="s">
        <v>29</v>
      </c>
      <c r="B137" t="s">
        <v>30</v>
      </c>
      <c r="C137" s="5">
        <v>51056391.090000004</v>
      </c>
      <c r="D137" s="2">
        <v>44938</v>
      </c>
      <c r="E137" s="5">
        <f t="shared" si="5"/>
        <v>107218421.28900002</v>
      </c>
      <c r="F137" s="2">
        <v>44939</v>
      </c>
      <c r="G137" s="3" t="s">
        <v>386</v>
      </c>
      <c r="H137" t="s">
        <v>95</v>
      </c>
      <c r="I137" s="7">
        <v>49738</v>
      </c>
      <c r="J137" t="s">
        <v>21</v>
      </c>
      <c r="K137" s="12">
        <v>23580</v>
      </c>
      <c r="L137" t="s">
        <v>0</v>
      </c>
      <c r="M137" s="12">
        <v>214204.65</v>
      </c>
      <c r="N137" t="s">
        <v>1</v>
      </c>
      <c r="O137" s="12">
        <v>9.08</v>
      </c>
      <c r="P137" s="12">
        <v>41676.49</v>
      </c>
      <c r="Q137" s="12">
        <v>1.77</v>
      </c>
    </row>
    <row r="138" spans="1:17" x14ac:dyDescent="0.2">
      <c r="A138" t="s">
        <v>29</v>
      </c>
      <c r="B138" t="s">
        <v>30</v>
      </c>
      <c r="C138" s="5">
        <v>51056392.810000002</v>
      </c>
      <c r="D138" s="2">
        <v>44910</v>
      </c>
      <c r="E138" s="5">
        <f t="shared" si="5"/>
        <v>107218424.90100001</v>
      </c>
      <c r="F138" s="2">
        <v>44939</v>
      </c>
      <c r="G138" s="3" t="s">
        <v>373</v>
      </c>
      <c r="H138" t="s">
        <v>82</v>
      </c>
      <c r="I138" s="7">
        <v>49738</v>
      </c>
      <c r="J138" t="s">
        <v>21</v>
      </c>
      <c r="K138" s="12">
        <v>10200</v>
      </c>
      <c r="L138" t="s">
        <v>0</v>
      </c>
      <c r="M138" s="12">
        <v>119000</v>
      </c>
      <c r="N138" t="s">
        <v>1</v>
      </c>
      <c r="O138" s="12">
        <v>11.67</v>
      </c>
      <c r="P138" s="12">
        <v>23151.4</v>
      </c>
      <c r="Q138" s="12">
        <v>2.27</v>
      </c>
    </row>
    <row r="139" spans="1:17" x14ac:dyDescent="0.2">
      <c r="A139" t="s">
        <v>29</v>
      </c>
      <c r="B139" t="s">
        <v>30</v>
      </c>
      <c r="C139" s="5">
        <v>51056394.450000003</v>
      </c>
      <c r="D139" s="2">
        <v>44939</v>
      </c>
      <c r="E139" s="5">
        <f t="shared" si="5"/>
        <v>107218428.34500001</v>
      </c>
      <c r="F139" s="2">
        <v>44939</v>
      </c>
      <c r="G139" s="3" t="s">
        <v>366</v>
      </c>
      <c r="H139" t="s">
        <v>75</v>
      </c>
      <c r="I139" s="7">
        <v>49738</v>
      </c>
      <c r="J139" t="s">
        <v>21</v>
      </c>
      <c r="K139" s="12">
        <v>15000</v>
      </c>
      <c r="L139" t="s">
        <v>0</v>
      </c>
      <c r="M139" s="12">
        <v>135715</v>
      </c>
      <c r="N139" t="s">
        <v>1</v>
      </c>
      <c r="O139" s="12">
        <v>9.0500000000000007</v>
      </c>
      <c r="P139" s="12">
        <v>26405.24</v>
      </c>
      <c r="Q139" s="12">
        <v>1.76</v>
      </c>
    </row>
    <row r="140" spans="1:17" x14ac:dyDescent="0.2">
      <c r="A140" t="s">
        <v>29</v>
      </c>
      <c r="B140" t="s">
        <v>30</v>
      </c>
      <c r="C140" s="5">
        <v>51056394.509999998</v>
      </c>
      <c r="D140" s="2">
        <v>44919</v>
      </c>
      <c r="E140" s="5">
        <f t="shared" si="5"/>
        <v>107218428.471</v>
      </c>
      <c r="F140" s="2">
        <v>44939</v>
      </c>
      <c r="G140" s="3" t="s">
        <v>394</v>
      </c>
      <c r="H140" t="s">
        <v>102</v>
      </c>
      <c r="I140" s="7">
        <v>35334</v>
      </c>
      <c r="J140" t="s">
        <v>24</v>
      </c>
      <c r="K140" s="12">
        <v>30</v>
      </c>
      <c r="L140" t="s">
        <v>2</v>
      </c>
      <c r="M140" s="12">
        <v>406402.5</v>
      </c>
      <c r="N140" t="s">
        <v>1</v>
      </c>
      <c r="O140" s="12">
        <v>13546.75</v>
      </c>
      <c r="P140" s="12">
        <v>78170.320000000007</v>
      </c>
      <c r="Q140" s="12">
        <v>2605.6799999999998</v>
      </c>
    </row>
    <row r="141" spans="1:17" x14ac:dyDescent="0.2">
      <c r="A141" t="s">
        <v>29</v>
      </c>
      <c r="B141" t="s">
        <v>30</v>
      </c>
      <c r="C141" s="5">
        <v>51056394.539999999</v>
      </c>
      <c r="D141" s="2">
        <v>44939</v>
      </c>
      <c r="E141" s="5">
        <f t="shared" si="5"/>
        <v>107218428.53400001</v>
      </c>
      <c r="F141" s="2">
        <v>44939</v>
      </c>
      <c r="G141" s="3" t="s">
        <v>397</v>
      </c>
      <c r="H141" t="s">
        <v>105</v>
      </c>
      <c r="I141" s="7">
        <v>35334</v>
      </c>
      <c r="J141" t="s">
        <v>24</v>
      </c>
      <c r="K141" s="12">
        <v>18</v>
      </c>
      <c r="L141" t="s">
        <v>2</v>
      </c>
      <c r="M141" s="12">
        <v>243841.5</v>
      </c>
      <c r="N141" t="s">
        <v>1</v>
      </c>
      <c r="O141" s="12">
        <v>13546.75</v>
      </c>
      <c r="P141" s="12">
        <v>33649.72</v>
      </c>
      <c r="Q141" s="12">
        <v>1869.43</v>
      </c>
    </row>
    <row r="142" spans="1:17" x14ac:dyDescent="0.2">
      <c r="A142" t="s">
        <v>29</v>
      </c>
      <c r="B142" t="s">
        <v>30</v>
      </c>
      <c r="C142" s="5">
        <v>51056394.579999998</v>
      </c>
      <c r="D142" s="2">
        <v>44919</v>
      </c>
      <c r="E142" s="5">
        <f t="shared" si="5"/>
        <v>107218428.618</v>
      </c>
      <c r="F142" s="2">
        <v>44939</v>
      </c>
      <c r="G142" s="3" t="s">
        <v>340</v>
      </c>
      <c r="H142" t="s">
        <v>50</v>
      </c>
      <c r="I142" s="7">
        <v>35334</v>
      </c>
      <c r="J142" t="s">
        <v>24</v>
      </c>
      <c r="K142" s="12">
        <v>15</v>
      </c>
      <c r="L142" t="s">
        <v>2</v>
      </c>
      <c r="M142" s="12">
        <v>221489.36</v>
      </c>
      <c r="N142" t="s">
        <v>1</v>
      </c>
      <c r="O142" s="12">
        <v>14765.96</v>
      </c>
      <c r="P142" s="12">
        <v>42586.23</v>
      </c>
      <c r="Q142" s="12">
        <v>2839.08</v>
      </c>
    </row>
    <row r="143" spans="1:17" x14ac:dyDescent="0.2">
      <c r="A143" t="s">
        <v>29</v>
      </c>
      <c r="B143" t="s">
        <v>30</v>
      </c>
      <c r="C143" s="5">
        <v>51056395.520000003</v>
      </c>
      <c r="D143" s="2">
        <v>44937</v>
      </c>
      <c r="E143" s="5">
        <f t="shared" si="5"/>
        <v>107218430.59200001</v>
      </c>
      <c r="F143" s="2">
        <v>44939</v>
      </c>
      <c r="G143" s="3" t="s">
        <v>367</v>
      </c>
      <c r="H143" t="s">
        <v>76</v>
      </c>
      <c r="I143" s="7">
        <v>35334</v>
      </c>
      <c r="J143" t="s">
        <v>24</v>
      </c>
      <c r="K143" s="12">
        <v>15</v>
      </c>
      <c r="L143" t="s">
        <v>2</v>
      </c>
      <c r="M143" s="12">
        <v>217715.63</v>
      </c>
      <c r="N143" t="s">
        <v>1</v>
      </c>
      <c r="O143" s="12">
        <v>14514.38</v>
      </c>
      <c r="P143" s="12">
        <v>42412.57</v>
      </c>
      <c r="Q143" s="12">
        <v>2827.5</v>
      </c>
    </row>
    <row r="144" spans="1:17" x14ac:dyDescent="0.2">
      <c r="A144" t="s">
        <v>29</v>
      </c>
      <c r="B144" t="s">
        <v>30</v>
      </c>
      <c r="C144" s="5">
        <v>51056397.270000003</v>
      </c>
      <c r="D144" s="2">
        <v>44910</v>
      </c>
      <c r="E144" s="5">
        <f t="shared" si="5"/>
        <v>107218434.267</v>
      </c>
      <c r="F144" s="2">
        <v>44939</v>
      </c>
      <c r="G144" s="3" t="s">
        <v>373</v>
      </c>
      <c r="H144" t="s">
        <v>82</v>
      </c>
      <c r="I144" s="7">
        <v>49738</v>
      </c>
      <c r="J144" t="s">
        <v>21</v>
      </c>
      <c r="K144" s="12">
        <v>10440</v>
      </c>
      <c r="L144" t="s">
        <v>0</v>
      </c>
      <c r="M144" s="12">
        <v>121800</v>
      </c>
      <c r="N144" t="s">
        <v>1</v>
      </c>
      <c r="O144" s="12">
        <v>11.67</v>
      </c>
      <c r="P144" s="12">
        <v>23697.93</v>
      </c>
      <c r="Q144" s="12">
        <v>2.27</v>
      </c>
    </row>
    <row r="145" spans="1:17" x14ac:dyDescent="0.2">
      <c r="A145" t="s">
        <v>29</v>
      </c>
      <c r="B145" t="s">
        <v>30</v>
      </c>
      <c r="C145" s="5">
        <v>51056401.149999999</v>
      </c>
      <c r="D145" s="2">
        <v>44936</v>
      </c>
      <c r="E145" s="5">
        <f t="shared" si="5"/>
        <v>107218442.41500001</v>
      </c>
      <c r="F145" s="2">
        <v>44939</v>
      </c>
      <c r="G145" s="3" t="s">
        <v>338</v>
      </c>
      <c r="H145" t="s">
        <v>48</v>
      </c>
      <c r="I145" s="7">
        <v>35333</v>
      </c>
      <c r="J145" t="s">
        <v>22</v>
      </c>
      <c r="K145" s="12">
        <v>4.8</v>
      </c>
      <c r="L145" t="s">
        <v>2</v>
      </c>
      <c r="M145" s="12">
        <v>69669</v>
      </c>
      <c r="N145" t="s">
        <v>1</v>
      </c>
      <c r="O145" s="12">
        <v>14514.38</v>
      </c>
      <c r="P145" s="12">
        <v>13555.07</v>
      </c>
      <c r="Q145" s="12">
        <v>2823.97</v>
      </c>
    </row>
    <row r="146" spans="1:17" x14ac:dyDescent="0.2">
      <c r="A146" t="s">
        <v>29</v>
      </c>
      <c r="B146" t="s">
        <v>30</v>
      </c>
      <c r="C146" s="5">
        <v>51056406</v>
      </c>
      <c r="D146" s="2">
        <v>44936</v>
      </c>
      <c r="E146" s="5">
        <f t="shared" si="5"/>
        <v>107218452.60000001</v>
      </c>
      <c r="F146" s="2">
        <v>44939</v>
      </c>
      <c r="G146" s="3" t="s">
        <v>386</v>
      </c>
      <c r="H146" t="s">
        <v>95</v>
      </c>
      <c r="I146" s="7">
        <v>35335</v>
      </c>
      <c r="J146" t="s">
        <v>25</v>
      </c>
      <c r="K146" s="12">
        <v>16.975000000000001</v>
      </c>
      <c r="L146" t="s">
        <v>2</v>
      </c>
      <c r="M146" s="12">
        <v>242532.35</v>
      </c>
      <c r="N146" t="s">
        <v>1</v>
      </c>
      <c r="O146" s="12">
        <v>14287.62</v>
      </c>
      <c r="P146" s="12">
        <v>46625.59</v>
      </c>
      <c r="Q146" s="12">
        <v>2746.72</v>
      </c>
    </row>
    <row r="147" spans="1:17" x14ac:dyDescent="0.2">
      <c r="A147" t="s">
        <v>29</v>
      </c>
      <c r="B147" t="s">
        <v>30</v>
      </c>
      <c r="C147" s="5">
        <v>51056419.020000003</v>
      </c>
      <c r="D147" s="2">
        <v>44910</v>
      </c>
      <c r="E147" s="5">
        <f t="shared" si="5"/>
        <v>107218479.94200002</v>
      </c>
      <c r="F147" s="2">
        <v>44939</v>
      </c>
      <c r="G147" s="3" t="s">
        <v>373</v>
      </c>
      <c r="H147" t="s">
        <v>82</v>
      </c>
      <c r="I147" s="7">
        <v>49738</v>
      </c>
      <c r="J147" t="s">
        <v>21</v>
      </c>
      <c r="K147" s="12">
        <v>10980</v>
      </c>
      <c r="L147" t="s">
        <v>0</v>
      </c>
      <c r="M147" s="12">
        <v>128100</v>
      </c>
      <c r="N147" t="s">
        <v>1</v>
      </c>
      <c r="O147" s="12">
        <v>11.67</v>
      </c>
      <c r="P147" s="12">
        <v>24923.68</v>
      </c>
      <c r="Q147" s="12">
        <v>2.27</v>
      </c>
    </row>
    <row r="148" spans="1:17" x14ac:dyDescent="0.2">
      <c r="A148" t="s">
        <v>29</v>
      </c>
      <c r="B148" t="s">
        <v>30</v>
      </c>
      <c r="C148" s="5">
        <v>51056419.030000001</v>
      </c>
      <c r="D148" s="2">
        <v>44910</v>
      </c>
      <c r="E148" s="5">
        <f t="shared" si="5"/>
        <v>107218479.96300001</v>
      </c>
      <c r="F148" s="2">
        <v>44939</v>
      </c>
      <c r="G148" s="3" t="s">
        <v>373</v>
      </c>
      <c r="H148" t="s">
        <v>82</v>
      </c>
      <c r="I148" s="7">
        <v>49738</v>
      </c>
      <c r="J148" t="s">
        <v>21</v>
      </c>
      <c r="K148" s="12">
        <v>10680</v>
      </c>
      <c r="L148" t="s">
        <v>0</v>
      </c>
      <c r="M148" s="12">
        <v>124600</v>
      </c>
      <c r="N148" t="s">
        <v>1</v>
      </c>
      <c r="O148" s="12">
        <v>11.67</v>
      </c>
      <c r="P148" s="12">
        <v>24242.66</v>
      </c>
      <c r="Q148" s="12">
        <v>2.27</v>
      </c>
    </row>
    <row r="149" spans="1:17" x14ac:dyDescent="0.2">
      <c r="A149" t="s">
        <v>29</v>
      </c>
      <c r="B149" t="s">
        <v>30</v>
      </c>
      <c r="C149" s="5">
        <v>51056421.670000002</v>
      </c>
      <c r="D149" s="2">
        <v>44938</v>
      </c>
      <c r="E149" s="5">
        <f t="shared" si="5"/>
        <v>107218485.50700001</v>
      </c>
      <c r="F149" s="2">
        <v>44939</v>
      </c>
      <c r="G149" s="3" t="s">
        <v>402</v>
      </c>
      <c r="H149" t="s">
        <v>109</v>
      </c>
      <c r="I149" s="7">
        <v>49738</v>
      </c>
      <c r="J149" t="s">
        <v>21</v>
      </c>
      <c r="K149" s="12">
        <v>39000</v>
      </c>
      <c r="L149" t="s">
        <v>0</v>
      </c>
      <c r="M149" s="12">
        <v>455000</v>
      </c>
      <c r="N149" t="s">
        <v>1</v>
      </c>
      <c r="O149" s="12">
        <v>11.67</v>
      </c>
      <c r="P149" s="12">
        <v>88526.57</v>
      </c>
      <c r="Q149" s="12">
        <v>2.27</v>
      </c>
    </row>
    <row r="150" spans="1:17" x14ac:dyDescent="0.2">
      <c r="A150" t="s">
        <v>29</v>
      </c>
      <c r="B150" t="s">
        <v>30</v>
      </c>
      <c r="C150" s="5">
        <v>51056421.82</v>
      </c>
      <c r="D150" s="2">
        <v>44910</v>
      </c>
      <c r="E150" s="5">
        <f t="shared" si="5"/>
        <v>107218485.82200001</v>
      </c>
      <c r="F150" s="2">
        <v>44939</v>
      </c>
      <c r="G150" s="3" t="s">
        <v>373</v>
      </c>
      <c r="H150" t="s">
        <v>82</v>
      </c>
      <c r="I150" s="7">
        <v>49738</v>
      </c>
      <c r="J150" t="s">
        <v>21</v>
      </c>
      <c r="K150" s="12">
        <v>10920</v>
      </c>
      <c r="L150" t="s">
        <v>0</v>
      </c>
      <c r="M150" s="12">
        <v>127400</v>
      </c>
      <c r="N150" t="s">
        <v>1</v>
      </c>
      <c r="O150" s="12">
        <v>11.67</v>
      </c>
      <c r="P150" s="12">
        <v>24787.439999999999</v>
      </c>
      <c r="Q150" s="12">
        <v>2.27</v>
      </c>
    </row>
    <row r="151" spans="1:17" x14ac:dyDescent="0.2">
      <c r="A151" t="s">
        <v>29</v>
      </c>
      <c r="B151" t="s">
        <v>30</v>
      </c>
      <c r="C151" s="5">
        <v>51056424.359999999</v>
      </c>
      <c r="D151" s="2">
        <v>44910</v>
      </c>
      <c r="E151" s="5">
        <f t="shared" si="5"/>
        <v>107218491.156</v>
      </c>
      <c r="F151" s="2">
        <v>44939</v>
      </c>
      <c r="G151" s="3" t="s">
        <v>373</v>
      </c>
      <c r="H151" t="s">
        <v>82</v>
      </c>
      <c r="I151" s="7">
        <v>49738</v>
      </c>
      <c r="J151" t="s">
        <v>21</v>
      </c>
      <c r="K151" s="12">
        <v>11040</v>
      </c>
      <c r="L151" t="s">
        <v>0</v>
      </c>
      <c r="M151" s="12">
        <v>128800</v>
      </c>
      <c r="N151" t="s">
        <v>1</v>
      </c>
      <c r="O151" s="12">
        <v>11.67</v>
      </c>
      <c r="P151" s="12">
        <v>25059.83</v>
      </c>
      <c r="Q151" s="12">
        <v>2.27</v>
      </c>
    </row>
    <row r="152" spans="1:17" x14ac:dyDescent="0.2">
      <c r="A152" t="s">
        <v>29</v>
      </c>
      <c r="B152" t="s">
        <v>30</v>
      </c>
      <c r="C152" s="5">
        <v>51056429.109999999</v>
      </c>
      <c r="D152" s="2">
        <v>44938</v>
      </c>
      <c r="E152" s="5">
        <f t="shared" si="5"/>
        <v>107218501.131</v>
      </c>
      <c r="F152" s="2">
        <v>44939</v>
      </c>
      <c r="G152" s="3" t="s">
        <v>403</v>
      </c>
      <c r="H152" t="s">
        <v>110</v>
      </c>
      <c r="I152" s="7">
        <v>49689</v>
      </c>
      <c r="J152" t="s">
        <v>20</v>
      </c>
      <c r="K152" s="12">
        <v>12451</v>
      </c>
      <c r="L152" t="s">
        <v>0</v>
      </c>
      <c r="M152" s="12">
        <v>160789.72</v>
      </c>
      <c r="N152" t="s">
        <v>1</v>
      </c>
      <c r="O152" s="12">
        <v>12.91</v>
      </c>
      <c r="P152" s="12">
        <v>31283.87</v>
      </c>
      <c r="Q152" s="12">
        <v>2.5099999999999998</v>
      </c>
    </row>
    <row r="153" spans="1:17" x14ac:dyDescent="0.2">
      <c r="A153" t="s">
        <v>29</v>
      </c>
      <c r="B153" t="s">
        <v>30</v>
      </c>
      <c r="C153" s="5">
        <v>51056429.130000003</v>
      </c>
      <c r="D153" s="2">
        <v>44938</v>
      </c>
      <c r="E153" s="5">
        <f t="shared" si="5"/>
        <v>107218501.17300001</v>
      </c>
      <c r="F153" s="2">
        <v>44939</v>
      </c>
      <c r="G153" s="3" t="s">
        <v>404</v>
      </c>
      <c r="H153" t="s">
        <v>110</v>
      </c>
      <c r="I153" s="7">
        <v>49689</v>
      </c>
      <c r="J153" t="s">
        <v>20</v>
      </c>
      <c r="K153" s="12">
        <v>29820</v>
      </c>
      <c r="L153" t="s">
        <v>0</v>
      </c>
      <c r="M153" s="12">
        <v>385089.52</v>
      </c>
      <c r="N153" t="s">
        <v>1</v>
      </c>
      <c r="O153" s="12">
        <v>12.91</v>
      </c>
      <c r="P153" s="12">
        <v>74924.509999999995</v>
      </c>
      <c r="Q153" s="12">
        <v>2.5099999999999998</v>
      </c>
    </row>
    <row r="154" spans="1:17" x14ac:dyDescent="0.2">
      <c r="A154" t="s">
        <v>29</v>
      </c>
      <c r="B154" t="s">
        <v>30</v>
      </c>
      <c r="C154" s="5">
        <v>51056429.43</v>
      </c>
      <c r="D154" s="2">
        <v>44938</v>
      </c>
      <c r="E154" s="5">
        <f t="shared" si="5"/>
        <v>107218501.803</v>
      </c>
      <c r="F154" s="2">
        <v>44939</v>
      </c>
      <c r="G154" s="3" t="s">
        <v>403</v>
      </c>
      <c r="H154" t="s">
        <v>110</v>
      </c>
      <c r="I154" s="7">
        <v>49689</v>
      </c>
      <c r="J154" t="s">
        <v>20</v>
      </c>
      <c r="K154" s="12">
        <v>13050</v>
      </c>
      <c r="L154" t="s">
        <v>0</v>
      </c>
      <c r="M154" s="12">
        <v>168525.09</v>
      </c>
      <c r="N154" t="s">
        <v>1</v>
      </c>
      <c r="O154" s="12">
        <v>12.91</v>
      </c>
      <c r="P154" s="12">
        <v>32788.9</v>
      </c>
      <c r="Q154" s="12">
        <v>2.5099999999999998</v>
      </c>
    </row>
    <row r="155" spans="1:17" x14ac:dyDescent="0.2">
      <c r="A155" t="s">
        <v>29</v>
      </c>
      <c r="B155" t="s">
        <v>30</v>
      </c>
      <c r="C155" s="5">
        <v>51056430.109999999</v>
      </c>
      <c r="D155" s="2">
        <v>44938</v>
      </c>
      <c r="E155" s="5">
        <f t="shared" si="5"/>
        <v>107218503.23100001</v>
      </c>
      <c r="F155" s="2">
        <v>44939</v>
      </c>
      <c r="G155" s="3" t="s">
        <v>405</v>
      </c>
      <c r="H155" t="s">
        <v>111</v>
      </c>
      <c r="I155" s="7">
        <v>49689</v>
      </c>
      <c r="J155" t="s">
        <v>20</v>
      </c>
      <c r="K155" s="12">
        <v>15670</v>
      </c>
      <c r="L155" t="s">
        <v>0</v>
      </c>
      <c r="M155" s="12">
        <v>202769.8</v>
      </c>
      <c r="N155" t="s">
        <v>1</v>
      </c>
      <c r="O155" s="12">
        <v>12.94</v>
      </c>
      <c r="P155" s="12">
        <v>39451.68</v>
      </c>
      <c r="Q155" s="12">
        <v>2.52</v>
      </c>
    </row>
    <row r="156" spans="1:17" x14ac:dyDescent="0.2">
      <c r="A156" t="s">
        <v>29</v>
      </c>
      <c r="B156" t="s">
        <v>30</v>
      </c>
      <c r="C156" s="5">
        <v>51056430.120000005</v>
      </c>
      <c r="D156" s="2">
        <v>44938</v>
      </c>
      <c r="E156" s="5">
        <f t="shared" si="5"/>
        <v>107218503.25200002</v>
      </c>
      <c r="F156" s="2">
        <v>44939</v>
      </c>
      <c r="G156" s="3" t="s">
        <v>406</v>
      </c>
      <c r="H156" t="s">
        <v>80</v>
      </c>
      <c r="I156" s="7">
        <v>49689</v>
      </c>
      <c r="J156" t="s">
        <v>20</v>
      </c>
      <c r="K156" s="12">
        <v>3660</v>
      </c>
      <c r="L156" t="s">
        <v>0</v>
      </c>
      <c r="M156" s="12">
        <v>57247.16</v>
      </c>
      <c r="N156" t="s">
        <v>1</v>
      </c>
      <c r="O156" s="12">
        <v>15.64</v>
      </c>
      <c r="P156" s="12">
        <v>11138.23</v>
      </c>
      <c r="Q156" s="12">
        <v>3.04</v>
      </c>
    </row>
    <row r="157" spans="1:17" x14ac:dyDescent="0.2">
      <c r="A157" t="s">
        <v>29</v>
      </c>
      <c r="B157" t="s">
        <v>30</v>
      </c>
      <c r="C157" s="5">
        <v>51056430.210000001</v>
      </c>
      <c r="D157" s="2">
        <v>44939</v>
      </c>
      <c r="E157" s="5">
        <f t="shared" si="5"/>
        <v>107218503.441</v>
      </c>
      <c r="F157" s="2">
        <v>44939</v>
      </c>
      <c r="G157" s="3" t="s">
        <v>339</v>
      </c>
      <c r="H157" t="s">
        <v>49</v>
      </c>
      <c r="I157" s="7">
        <v>49689</v>
      </c>
      <c r="J157" t="s">
        <v>20</v>
      </c>
      <c r="K157" s="12">
        <v>66700</v>
      </c>
      <c r="L157" t="s">
        <v>0</v>
      </c>
      <c r="M157" s="12">
        <v>886022.79</v>
      </c>
      <c r="N157" t="s">
        <v>1</v>
      </c>
      <c r="O157" s="12">
        <v>13.28</v>
      </c>
      <c r="P157" s="12">
        <v>172388.04</v>
      </c>
      <c r="Q157" s="12">
        <v>2.58</v>
      </c>
    </row>
    <row r="158" spans="1:17" x14ac:dyDescent="0.2">
      <c r="A158" t="s">
        <v>29</v>
      </c>
      <c r="B158" t="s">
        <v>30</v>
      </c>
      <c r="C158" s="5">
        <v>51056463.520000003</v>
      </c>
      <c r="D158" s="2">
        <v>44930</v>
      </c>
      <c r="E158" s="5">
        <f t="shared" si="5"/>
        <v>107218573.392</v>
      </c>
      <c r="F158" s="2">
        <v>44942</v>
      </c>
      <c r="G158" s="3" t="s">
        <v>326</v>
      </c>
      <c r="H158" t="s">
        <v>36</v>
      </c>
      <c r="I158" s="7">
        <v>35333</v>
      </c>
      <c r="J158" t="s">
        <v>22</v>
      </c>
      <c r="K158" s="12">
        <v>2</v>
      </c>
      <c r="L158" t="s">
        <v>2</v>
      </c>
      <c r="M158" s="12">
        <v>28061.13</v>
      </c>
      <c r="N158" t="s">
        <v>1</v>
      </c>
      <c r="O158" s="12">
        <v>14030.57</v>
      </c>
      <c r="P158" s="12">
        <v>5459.68</v>
      </c>
      <c r="Q158" s="12">
        <v>2729.84</v>
      </c>
    </row>
    <row r="159" spans="1:17" x14ac:dyDescent="0.2">
      <c r="A159" t="s">
        <v>29</v>
      </c>
      <c r="B159" t="s">
        <v>30</v>
      </c>
      <c r="C159" s="5">
        <v>51056463.609999999</v>
      </c>
      <c r="D159" s="2">
        <v>44910</v>
      </c>
      <c r="E159" s="5">
        <f t="shared" si="5"/>
        <v>107218573.581</v>
      </c>
      <c r="F159" s="2">
        <v>44942</v>
      </c>
      <c r="G159" s="3" t="s">
        <v>373</v>
      </c>
      <c r="H159" t="s">
        <v>82</v>
      </c>
      <c r="I159" s="7">
        <v>49738</v>
      </c>
      <c r="J159" t="s">
        <v>21</v>
      </c>
      <c r="K159" s="12">
        <v>8100</v>
      </c>
      <c r="L159" t="s">
        <v>0</v>
      </c>
      <c r="M159" s="12">
        <v>94500</v>
      </c>
      <c r="N159" t="s">
        <v>1</v>
      </c>
      <c r="O159" s="12">
        <v>11.67</v>
      </c>
      <c r="P159" s="12">
        <v>18476</v>
      </c>
      <c r="Q159" s="12">
        <v>2.2799999999999998</v>
      </c>
    </row>
    <row r="160" spans="1:17" x14ac:dyDescent="0.2">
      <c r="A160" t="s">
        <v>29</v>
      </c>
      <c r="B160" t="s">
        <v>30</v>
      </c>
      <c r="C160" s="5">
        <v>51056463.649999999</v>
      </c>
      <c r="D160" s="2">
        <v>44912</v>
      </c>
      <c r="E160" s="5">
        <f t="shared" si="5"/>
        <v>107218573.66500001</v>
      </c>
      <c r="F160" s="2">
        <v>44942</v>
      </c>
      <c r="G160" s="3" t="s">
        <v>407</v>
      </c>
      <c r="H160" t="s">
        <v>112</v>
      </c>
      <c r="I160" s="7">
        <v>35334</v>
      </c>
      <c r="J160" t="s">
        <v>24</v>
      </c>
      <c r="K160" s="12">
        <v>3.6509999999999998</v>
      </c>
      <c r="L160" t="s">
        <v>2</v>
      </c>
      <c r="M160" s="12">
        <v>35327.99</v>
      </c>
      <c r="N160" t="s">
        <v>1</v>
      </c>
      <c r="O160" s="12">
        <v>9676.25</v>
      </c>
      <c r="P160" s="12">
        <v>6615.36</v>
      </c>
      <c r="Q160" s="12">
        <v>1811.93</v>
      </c>
    </row>
    <row r="161" spans="1:17" x14ac:dyDescent="0.2">
      <c r="A161" t="s">
        <v>29</v>
      </c>
      <c r="B161" t="s">
        <v>30</v>
      </c>
      <c r="C161" s="5">
        <v>51056463.870000005</v>
      </c>
      <c r="D161" s="2">
        <v>44939</v>
      </c>
      <c r="E161" s="5">
        <f t="shared" si="5"/>
        <v>107218574.12700002</v>
      </c>
      <c r="F161" s="2">
        <v>44942</v>
      </c>
      <c r="G161" s="3" t="s">
        <v>386</v>
      </c>
      <c r="H161" t="s">
        <v>95</v>
      </c>
      <c r="I161" s="7">
        <v>49738</v>
      </c>
      <c r="J161" t="s">
        <v>21</v>
      </c>
      <c r="K161" s="12">
        <v>24600</v>
      </c>
      <c r="L161" t="s">
        <v>0</v>
      </c>
      <c r="M161" s="12">
        <v>226537.3</v>
      </c>
      <c r="N161" t="s">
        <v>1</v>
      </c>
      <c r="O161" s="12">
        <v>9.2100000000000009</v>
      </c>
      <c r="P161" s="12">
        <v>44294.879999999997</v>
      </c>
      <c r="Q161" s="12">
        <v>1.8</v>
      </c>
    </row>
    <row r="162" spans="1:17" x14ac:dyDescent="0.2">
      <c r="A162" t="s">
        <v>29</v>
      </c>
      <c r="B162" t="s">
        <v>30</v>
      </c>
      <c r="C162" s="5">
        <v>51056463.880000003</v>
      </c>
      <c r="D162" s="2">
        <v>44938</v>
      </c>
      <c r="E162" s="5">
        <f t="shared" si="5"/>
        <v>107218574.14800002</v>
      </c>
      <c r="F162" s="2">
        <v>44942</v>
      </c>
      <c r="G162" s="3" t="s">
        <v>408</v>
      </c>
      <c r="H162" t="s">
        <v>113</v>
      </c>
      <c r="I162" s="7">
        <v>49689</v>
      </c>
      <c r="J162" t="s">
        <v>20</v>
      </c>
      <c r="K162" s="12">
        <v>3060</v>
      </c>
      <c r="L162" t="s">
        <v>0</v>
      </c>
      <c r="M162" s="12">
        <v>51366.69</v>
      </c>
      <c r="N162" t="s">
        <v>1</v>
      </c>
      <c r="O162" s="12">
        <v>16.79</v>
      </c>
      <c r="P162" s="12">
        <v>10043.74</v>
      </c>
      <c r="Q162" s="12">
        <v>3.28</v>
      </c>
    </row>
    <row r="163" spans="1:17" x14ac:dyDescent="0.2">
      <c r="A163" t="s">
        <v>29</v>
      </c>
      <c r="B163" t="s">
        <v>30</v>
      </c>
      <c r="C163" s="5">
        <v>51056465.789999999</v>
      </c>
      <c r="D163" s="2">
        <v>44939</v>
      </c>
      <c r="E163" s="5">
        <f t="shared" si="5"/>
        <v>107218578.15900001</v>
      </c>
      <c r="F163" s="2">
        <v>44942</v>
      </c>
      <c r="G163" s="3" t="s">
        <v>386</v>
      </c>
      <c r="H163" t="s">
        <v>95</v>
      </c>
      <c r="I163" s="7">
        <v>49738</v>
      </c>
      <c r="J163" t="s">
        <v>21</v>
      </c>
      <c r="K163" s="12">
        <v>26220</v>
      </c>
      <c r="L163" t="s">
        <v>0</v>
      </c>
      <c r="M163" s="12">
        <v>241455.61</v>
      </c>
      <c r="N163" t="s">
        <v>1</v>
      </c>
      <c r="O163" s="12">
        <v>9.2100000000000009</v>
      </c>
      <c r="P163" s="12">
        <v>47215.22</v>
      </c>
      <c r="Q163" s="12">
        <v>1.8</v>
      </c>
    </row>
    <row r="164" spans="1:17" x14ac:dyDescent="0.2">
      <c r="A164" t="s">
        <v>29</v>
      </c>
      <c r="B164" t="s">
        <v>30</v>
      </c>
      <c r="C164" s="5">
        <v>51056466.450000003</v>
      </c>
      <c r="D164" s="2">
        <v>44939</v>
      </c>
      <c r="E164" s="5">
        <f t="shared" si="5"/>
        <v>107218579.54500002</v>
      </c>
      <c r="F164" s="2">
        <v>44942</v>
      </c>
      <c r="G164" s="3" t="s">
        <v>386</v>
      </c>
      <c r="H164" t="s">
        <v>95</v>
      </c>
      <c r="I164" s="7">
        <v>49738</v>
      </c>
      <c r="J164" t="s">
        <v>21</v>
      </c>
      <c r="K164" s="12">
        <v>39180</v>
      </c>
      <c r="L164" t="s">
        <v>0</v>
      </c>
      <c r="M164" s="12">
        <v>360802.09</v>
      </c>
      <c r="N164" t="s">
        <v>1</v>
      </c>
      <c r="O164" s="12">
        <v>9.2100000000000009</v>
      </c>
      <c r="P164" s="12">
        <v>70547.7</v>
      </c>
      <c r="Q164" s="12">
        <v>1.8</v>
      </c>
    </row>
    <row r="165" spans="1:17" x14ac:dyDescent="0.2">
      <c r="A165" t="s">
        <v>29</v>
      </c>
      <c r="B165" t="s">
        <v>30</v>
      </c>
      <c r="C165" s="5">
        <v>51056466.509999998</v>
      </c>
      <c r="D165" s="2">
        <v>44942</v>
      </c>
      <c r="E165" s="5">
        <f t="shared" si="5"/>
        <v>107218579.671</v>
      </c>
      <c r="F165" s="2">
        <v>44942</v>
      </c>
      <c r="G165" s="3" t="s">
        <v>397</v>
      </c>
      <c r="H165" t="s">
        <v>105</v>
      </c>
      <c r="I165" s="7">
        <v>35334</v>
      </c>
      <c r="J165" t="s">
        <v>24</v>
      </c>
      <c r="K165" s="12">
        <v>18</v>
      </c>
      <c r="L165" t="s">
        <v>2</v>
      </c>
      <c r="M165" s="12">
        <v>243841.5</v>
      </c>
      <c r="N165" t="s">
        <v>1</v>
      </c>
      <c r="O165" s="12">
        <v>13546.75</v>
      </c>
      <c r="P165" s="12">
        <v>44101.08</v>
      </c>
      <c r="Q165" s="12">
        <v>2450.06</v>
      </c>
    </row>
    <row r="166" spans="1:17" x14ac:dyDescent="0.2">
      <c r="A166" t="s">
        <v>29</v>
      </c>
      <c r="B166" t="s">
        <v>30</v>
      </c>
      <c r="C166" s="5">
        <v>51056466.539999999</v>
      </c>
      <c r="D166" s="2">
        <v>44942</v>
      </c>
      <c r="E166" s="5">
        <f t="shared" si="5"/>
        <v>107218579.734</v>
      </c>
      <c r="F166" s="2">
        <v>44942</v>
      </c>
      <c r="G166" s="3" t="s">
        <v>367</v>
      </c>
      <c r="H166" t="s">
        <v>76</v>
      </c>
      <c r="I166" s="7">
        <v>35334</v>
      </c>
      <c r="J166" t="s">
        <v>24</v>
      </c>
      <c r="K166" s="12">
        <v>15</v>
      </c>
      <c r="L166" t="s">
        <v>2</v>
      </c>
      <c r="M166" s="12">
        <v>217715.63</v>
      </c>
      <c r="N166" t="s">
        <v>1</v>
      </c>
      <c r="O166" s="12">
        <v>14514.38</v>
      </c>
      <c r="P166" s="12">
        <v>28610.79</v>
      </c>
      <c r="Q166" s="12">
        <v>1907.39</v>
      </c>
    </row>
    <row r="167" spans="1:17" x14ac:dyDescent="0.2">
      <c r="A167" t="s">
        <v>29</v>
      </c>
      <c r="B167" t="s">
        <v>30</v>
      </c>
      <c r="C167" s="5">
        <v>51056466.590000004</v>
      </c>
      <c r="D167" s="2">
        <v>44936</v>
      </c>
      <c r="E167" s="5">
        <f t="shared" si="5"/>
        <v>107218579.83900002</v>
      </c>
      <c r="F167" s="2">
        <v>44942</v>
      </c>
      <c r="G167" s="3" t="s">
        <v>368</v>
      </c>
      <c r="H167" t="s">
        <v>77</v>
      </c>
      <c r="I167" s="7">
        <v>35334</v>
      </c>
      <c r="J167" t="s">
        <v>24</v>
      </c>
      <c r="K167" s="12">
        <v>7.7060000000000004</v>
      </c>
      <c r="L167" t="s">
        <v>2</v>
      </c>
      <c r="M167" s="12">
        <v>110604.99</v>
      </c>
      <c r="N167" t="s">
        <v>1</v>
      </c>
      <c r="O167" s="12">
        <v>14353.1</v>
      </c>
      <c r="P167" s="12">
        <v>21519.74</v>
      </c>
      <c r="Q167" s="12">
        <v>2792.6</v>
      </c>
    </row>
    <row r="168" spans="1:17" x14ac:dyDescent="0.2">
      <c r="A168" t="s">
        <v>29</v>
      </c>
      <c r="B168" t="s">
        <v>30</v>
      </c>
      <c r="C168" s="5">
        <v>51056466.980000004</v>
      </c>
      <c r="D168" s="2">
        <v>44930</v>
      </c>
      <c r="E168" s="5">
        <f t="shared" si="5"/>
        <v>107218580.65800001</v>
      </c>
      <c r="F168" s="2">
        <v>44942</v>
      </c>
      <c r="G168" s="3" t="s">
        <v>326</v>
      </c>
      <c r="H168" t="s">
        <v>36</v>
      </c>
      <c r="I168" s="7">
        <v>35333</v>
      </c>
      <c r="J168" t="s">
        <v>22</v>
      </c>
      <c r="K168" s="12">
        <v>1.901</v>
      </c>
      <c r="L168" t="s">
        <v>2</v>
      </c>
      <c r="M168" s="12">
        <v>26672.1</v>
      </c>
      <c r="N168" t="s">
        <v>1</v>
      </c>
      <c r="O168" s="12">
        <v>14030.56</v>
      </c>
      <c r="P168" s="12">
        <v>5189.43</v>
      </c>
      <c r="Q168" s="12">
        <v>2729.84</v>
      </c>
    </row>
    <row r="169" spans="1:17" x14ac:dyDescent="0.2">
      <c r="A169" t="s">
        <v>29</v>
      </c>
      <c r="B169" t="s">
        <v>30</v>
      </c>
      <c r="C169" s="5">
        <v>51056467.620000005</v>
      </c>
      <c r="D169" s="2">
        <v>44932</v>
      </c>
      <c r="E169" s="5">
        <f t="shared" si="5"/>
        <v>107218582.00200002</v>
      </c>
      <c r="F169" s="2">
        <v>44942</v>
      </c>
      <c r="G169" s="3" t="s">
        <v>409</v>
      </c>
      <c r="H169" t="s">
        <v>114</v>
      </c>
      <c r="I169" s="7">
        <v>35334</v>
      </c>
      <c r="J169" t="s">
        <v>24</v>
      </c>
      <c r="K169" s="12">
        <v>2.1549999999999998</v>
      </c>
      <c r="L169" t="s">
        <v>2</v>
      </c>
      <c r="M169" s="12">
        <v>32531.02</v>
      </c>
      <c r="N169" t="s">
        <v>1</v>
      </c>
      <c r="O169" s="12">
        <v>15095.6</v>
      </c>
      <c r="P169" s="12">
        <v>5973.82</v>
      </c>
      <c r="Q169" s="12">
        <v>2772.07</v>
      </c>
    </row>
    <row r="170" spans="1:17" x14ac:dyDescent="0.2">
      <c r="A170" t="s">
        <v>29</v>
      </c>
      <c r="B170" t="s">
        <v>30</v>
      </c>
      <c r="C170" s="5">
        <v>51056468.359999999</v>
      </c>
      <c r="D170" s="2">
        <v>44919</v>
      </c>
      <c r="E170" s="5">
        <f t="shared" si="5"/>
        <v>107218583.55600001</v>
      </c>
      <c r="F170" s="2">
        <v>44942</v>
      </c>
      <c r="G170" s="3" t="s">
        <v>394</v>
      </c>
      <c r="H170" t="s">
        <v>102</v>
      </c>
      <c r="I170" s="7">
        <v>35334</v>
      </c>
      <c r="J170" t="s">
        <v>24</v>
      </c>
      <c r="K170" s="12">
        <v>30</v>
      </c>
      <c r="L170" t="s">
        <v>2</v>
      </c>
      <c r="M170" s="12">
        <v>406402.5</v>
      </c>
      <c r="N170" t="s">
        <v>1</v>
      </c>
      <c r="O170" s="12">
        <v>13546.75</v>
      </c>
      <c r="P170" s="12">
        <v>75287.55</v>
      </c>
      <c r="Q170" s="12">
        <v>2509.59</v>
      </c>
    </row>
    <row r="171" spans="1:17" x14ac:dyDescent="0.2">
      <c r="A171" t="s">
        <v>29</v>
      </c>
      <c r="B171" t="s">
        <v>30</v>
      </c>
      <c r="C171" s="5">
        <v>51056469.93</v>
      </c>
      <c r="D171" s="2">
        <v>44930</v>
      </c>
      <c r="E171" s="5">
        <f t="shared" ref="E171:E234" si="6">C171*2.1</f>
        <v>107218586.853</v>
      </c>
      <c r="F171" s="2">
        <v>44942</v>
      </c>
      <c r="G171" s="3" t="s">
        <v>326</v>
      </c>
      <c r="H171" t="s">
        <v>36</v>
      </c>
      <c r="I171" s="7">
        <v>35333</v>
      </c>
      <c r="J171" t="s">
        <v>22</v>
      </c>
      <c r="K171" s="12">
        <v>2</v>
      </c>
      <c r="L171" t="s">
        <v>2</v>
      </c>
      <c r="M171" s="12">
        <v>28061.13</v>
      </c>
      <c r="N171" t="s">
        <v>1</v>
      </c>
      <c r="O171" s="12">
        <v>14030.57</v>
      </c>
      <c r="P171" s="12">
        <v>5486.8</v>
      </c>
      <c r="Q171" s="12">
        <v>2743.4</v>
      </c>
    </row>
    <row r="172" spans="1:17" x14ac:dyDescent="0.2">
      <c r="A172" t="s">
        <v>29</v>
      </c>
      <c r="B172" t="s">
        <v>30</v>
      </c>
      <c r="C172" s="5">
        <v>51056470.520000003</v>
      </c>
      <c r="D172" s="2">
        <v>44938</v>
      </c>
      <c r="E172" s="5">
        <f t="shared" si="6"/>
        <v>107218588.09200001</v>
      </c>
      <c r="F172" s="2">
        <v>44942</v>
      </c>
      <c r="G172" s="3" t="s">
        <v>408</v>
      </c>
      <c r="H172" t="s">
        <v>113</v>
      </c>
      <c r="I172" s="7">
        <v>49738</v>
      </c>
      <c r="J172" t="s">
        <v>21</v>
      </c>
      <c r="K172" s="12">
        <v>12000</v>
      </c>
      <c r="L172" t="s">
        <v>0</v>
      </c>
      <c r="M172" s="12">
        <v>129950</v>
      </c>
      <c r="N172" t="s">
        <v>1</v>
      </c>
      <c r="O172" s="12">
        <v>10.83</v>
      </c>
      <c r="P172" s="12">
        <v>25409.15</v>
      </c>
      <c r="Q172" s="12">
        <v>2.12</v>
      </c>
    </row>
    <row r="173" spans="1:17" x14ac:dyDescent="0.2">
      <c r="A173" t="s">
        <v>29</v>
      </c>
      <c r="B173" t="s">
        <v>30</v>
      </c>
      <c r="C173" s="5">
        <v>51056471.560000002</v>
      </c>
      <c r="D173" s="2">
        <v>44930</v>
      </c>
      <c r="E173" s="5">
        <f t="shared" si="6"/>
        <v>107218590.27600001</v>
      </c>
      <c r="F173" s="2">
        <v>44942</v>
      </c>
      <c r="G173" s="3" t="s">
        <v>326</v>
      </c>
      <c r="H173" t="s">
        <v>36</v>
      </c>
      <c r="I173" s="7">
        <v>35333</v>
      </c>
      <c r="J173" t="s">
        <v>22</v>
      </c>
      <c r="K173" s="12">
        <v>4.1630000000000003</v>
      </c>
      <c r="L173" t="s">
        <v>2</v>
      </c>
      <c r="M173" s="12">
        <v>58409.24</v>
      </c>
      <c r="N173" t="s">
        <v>1</v>
      </c>
      <c r="O173" s="12">
        <v>14030.56</v>
      </c>
      <c r="P173" s="12">
        <v>11420.76</v>
      </c>
      <c r="Q173" s="12">
        <v>2743.4</v>
      </c>
    </row>
    <row r="174" spans="1:17" x14ac:dyDescent="0.2">
      <c r="A174" t="s">
        <v>29</v>
      </c>
      <c r="B174" t="s">
        <v>30</v>
      </c>
      <c r="C174" s="5">
        <v>51056471.770000003</v>
      </c>
      <c r="D174" s="2">
        <v>44942</v>
      </c>
      <c r="E174" s="5">
        <f t="shared" si="6"/>
        <v>107218590.71700001</v>
      </c>
      <c r="F174" s="2">
        <v>44942</v>
      </c>
      <c r="G174" s="3" t="s">
        <v>366</v>
      </c>
      <c r="H174" t="s">
        <v>75</v>
      </c>
      <c r="I174" s="7">
        <v>49738</v>
      </c>
      <c r="J174" t="s">
        <v>21</v>
      </c>
      <c r="K174" s="12">
        <v>15000</v>
      </c>
      <c r="L174" t="s">
        <v>0</v>
      </c>
      <c r="M174" s="12">
        <v>138002.5</v>
      </c>
      <c r="N174" t="s">
        <v>1</v>
      </c>
      <c r="O174" s="12">
        <v>9.1999999999999993</v>
      </c>
      <c r="P174" s="12">
        <v>26983.65</v>
      </c>
      <c r="Q174" s="12">
        <v>1.8</v>
      </c>
    </row>
    <row r="175" spans="1:17" x14ac:dyDescent="0.2">
      <c r="A175" t="s">
        <v>29</v>
      </c>
      <c r="B175" t="s">
        <v>30</v>
      </c>
      <c r="C175" s="5">
        <v>51056472.450000003</v>
      </c>
      <c r="D175" s="2">
        <v>44938</v>
      </c>
      <c r="E175" s="5">
        <f t="shared" si="6"/>
        <v>107218592.14500001</v>
      </c>
      <c r="F175" s="2">
        <v>44942</v>
      </c>
      <c r="G175" s="3" t="s">
        <v>399</v>
      </c>
      <c r="H175" t="s">
        <v>106</v>
      </c>
      <c r="I175" s="7">
        <v>49689</v>
      </c>
      <c r="J175" t="s">
        <v>20</v>
      </c>
      <c r="K175" s="12">
        <v>42168.7</v>
      </c>
      <c r="L175" t="s">
        <v>0</v>
      </c>
      <c r="M175" s="12">
        <v>544558.16</v>
      </c>
      <c r="N175" t="s">
        <v>1</v>
      </c>
      <c r="O175" s="12">
        <v>12.91</v>
      </c>
      <c r="P175" s="12">
        <v>106477.56</v>
      </c>
      <c r="Q175" s="12">
        <v>2.5299999999999998</v>
      </c>
    </row>
    <row r="176" spans="1:17" x14ac:dyDescent="0.2">
      <c r="A176" t="s">
        <v>29</v>
      </c>
      <c r="B176" t="s">
        <v>30</v>
      </c>
      <c r="C176" s="5">
        <v>51056473.450000003</v>
      </c>
      <c r="D176" s="2">
        <v>44942</v>
      </c>
      <c r="E176" s="5">
        <f t="shared" si="6"/>
        <v>107218594.245</v>
      </c>
      <c r="F176" s="2">
        <v>44942</v>
      </c>
      <c r="G176" s="3" t="s">
        <v>366</v>
      </c>
      <c r="H176" t="s">
        <v>75</v>
      </c>
      <c r="I176" s="7">
        <v>49738</v>
      </c>
      <c r="J176" t="s">
        <v>21</v>
      </c>
      <c r="K176" s="12">
        <v>14100</v>
      </c>
      <c r="L176" t="s">
        <v>0</v>
      </c>
      <c r="M176" s="12">
        <v>129722.35</v>
      </c>
      <c r="N176" t="s">
        <v>1</v>
      </c>
      <c r="O176" s="12">
        <v>9.1999999999999993</v>
      </c>
      <c r="P176" s="12">
        <v>25364.63</v>
      </c>
      <c r="Q176" s="12">
        <v>1.8</v>
      </c>
    </row>
    <row r="177" spans="1:17" x14ac:dyDescent="0.2">
      <c r="A177" t="s">
        <v>29</v>
      </c>
      <c r="B177" t="s">
        <v>30</v>
      </c>
      <c r="C177" s="5">
        <v>51056474.689999998</v>
      </c>
      <c r="D177" s="2">
        <v>44938</v>
      </c>
      <c r="E177" s="5">
        <f t="shared" si="6"/>
        <v>107218596.84900001</v>
      </c>
      <c r="F177" s="2">
        <v>44942</v>
      </c>
      <c r="G177" s="3" t="s">
        <v>339</v>
      </c>
      <c r="H177" t="s">
        <v>49</v>
      </c>
      <c r="I177" s="7">
        <v>49689</v>
      </c>
      <c r="J177" t="s">
        <v>20</v>
      </c>
      <c r="K177" s="12">
        <v>6300</v>
      </c>
      <c r="L177" t="s">
        <v>0</v>
      </c>
      <c r="M177" s="12">
        <v>84525.21</v>
      </c>
      <c r="N177" t="s">
        <v>1</v>
      </c>
      <c r="O177" s="12">
        <v>13.42</v>
      </c>
      <c r="P177" s="12">
        <v>16527.23</v>
      </c>
      <c r="Q177" s="12">
        <v>2.62</v>
      </c>
    </row>
    <row r="178" spans="1:17" x14ac:dyDescent="0.2">
      <c r="A178" t="s">
        <v>29</v>
      </c>
      <c r="B178" t="s">
        <v>30</v>
      </c>
      <c r="C178" s="5">
        <v>51056491.140000001</v>
      </c>
      <c r="D178" s="2">
        <v>44923</v>
      </c>
      <c r="E178" s="5">
        <f t="shared" si="6"/>
        <v>107218631.39400001</v>
      </c>
      <c r="F178" s="2">
        <v>44942</v>
      </c>
      <c r="G178" s="3" t="s">
        <v>329</v>
      </c>
      <c r="H178" t="s">
        <v>39</v>
      </c>
      <c r="I178" s="7">
        <v>35333</v>
      </c>
      <c r="J178" t="s">
        <v>22</v>
      </c>
      <c r="K178" s="12">
        <v>18</v>
      </c>
      <c r="L178" t="s">
        <v>2</v>
      </c>
      <c r="M178" s="12">
        <v>252550.12</v>
      </c>
      <c r="N178" t="s">
        <v>1</v>
      </c>
      <c r="O178" s="12">
        <v>14030.56</v>
      </c>
      <c r="P178" s="12">
        <v>49381.17</v>
      </c>
      <c r="Q178" s="12">
        <v>2743.4</v>
      </c>
    </row>
    <row r="179" spans="1:17" x14ac:dyDescent="0.2">
      <c r="A179" t="s">
        <v>29</v>
      </c>
      <c r="B179" t="s">
        <v>30</v>
      </c>
      <c r="C179" s="5">
        <v>51056491.170000002</v>
      </c>
      <c r="D179" s="2">
        <v>44936</v>
      </c>
      <c r="E179" s="5">
        <f t="shared" si="6"/>
        <v>107218631.457</v>
      </c>
      <c r="F179" s="2">
        <v>44942</v>
      </c>
      <c r="G179" s="3" t="s">
        <v>410</v>
      </c>
      <c r="H179" t="s">
        <v>115</v>
      </c>
      <c r="I179" s="7">
        <v>35333</v>
      </c>
      <c r="J179" t="s">
        <v>22</v>
      </c>
      <c r="K179" s="12">
        <v>15</v>
      </c>
      <c r="L179" t="s">
        <v>2</v>
      </c>
      <c r="M179" s="12">
        <v>217715.63</v>
      </c>
      <c r="N179" t="s">
        <v>1</v>
      </c>
      <c r="O179" s="12">
        <v>14514.38</v>
      </c>
      <c r="P179" s="12">
        <v>42569.99</v>
      </c>
      <c r="Q179" s="12">
        <v>2838</v>
      </c>
    </row>
    <row r="180" spans="1:17" x14ac:dyDescent="0.2">
      <c r="A180" t="s">
        <v>29</v>
      </c>
      <c r="B180" t="s">
        <v>30</v>
      </c>
      <c r="C180" s="5">
        <v>51056502.289999999</v>
      </c>
      <c r="D180" s="2">
        <v>44942</v>
      </c>
      <c r="E180" s="5">
        <f t="shared" si="6"/>
        <v>107218654.809</v>
      </c>
      <c r="F180" s="2">
        <v>44942</v>
      </c>
      <c r="G180" s="3" t="s">
        <v>411</v>
      </c>
      <c r="H180" t="s">
        <v>116</v>
      </c>
      <c r="I180" s="7">
        <v>49738</v>
      </c>
      <c r="J180" t="s">
        <v>21</v>
      </c>
      <c r="K180" s="12">
        <v>36360</v>
      </c>
      <c r="L180" t="s">
        <v>0</v>
      </c>
      <c r="M180" s="12">
        <v>337826.82</v>
      </c>
      <c r="N180" t="s">
        <v>1</v>
      </c>
      <c r="O180" s="12">
        <v>9.2899999999999991</v>
      </c>
      <c r="P180" s="12">
        <v>66055.34</v>
      </c>
      <c r="Q180" s="12">
        <v>1.82</v>
      </c>
    </row>
    <row r="181" spans="1:17" x14ac:dyDescent="0.2">
      <c r="A181" t="s">
        <v>29</v>
      </c>
      <c r="B181" t="s">
        <v>30</v>
      </c>
      <c r="C181" s="5">
        <v>51056504.009999998</v>
      </c>
      <c r="D181" s="2">
        <v>44942</v>
      </c>
      <c r="E181" s="5">
        <f t="shared" si="6"/>
        <v>107218658.421</v>
      </c>
      <c r="F181" s="2">
        <v>44942</v>
      </c>
      <c r="G181" s="3" t="s">
        <v>412</v>
      </c>
      <c r="H181" t="s">
        <v>117</v>
      </c>
      <c r="I181" s="7">
        <v>35333</v>
      </c>
      <c r="J181" t="s">
        <v>22</v>
      </c>
      <c r="K181" s="12">
        <v>5.1369999999999996</v>
      </c>
      <c r="L181" t="s">
        <v>2</v>
      </c>
      <c r="M181" s="12">
        <v>49709.31</v>
      </c>
      <c r="N181" t="s">
        <v>1</v>
      </c>
      <c r="O181" s="12">
        <v>9676.7199999999993</v>
      </c>
      <c r="P181" s="12">
        <v>9719.67</v>
      </c>
      <c r="Q181" s="12">
        <v>1892.09</v>
      </c>
    </row>
    <row r="182" spans="1:17" x14ac:dyDescent="0.2">
      <c r="A182" t="s">
        <v>29</v>
      </c>
      <c r="B182" t="s">
        <v>30</v>
      </c>
      <c r="C182" s="5">
        <v>51056504.43</v>
      </c>
      <c r="D182" s="2">
        <v>44942</v>
      </c>
      <c r="E182" s="5">
        <f t="shared" si="6"/>
        <v>107218659.303</v>
      </c>
      <c r="F182" s="2">
        <v>44942</v>
      </c>
      <c r="G182" s="3" t="s">
        <v>411</v>
      </c>
      <c r="H182" t="s">
        <v>116</v>
      </c>
      <c r="I182" s="7">
        <v>49738</v>
      </c>
      <c r="J182" t="s">
        <v>21</v>
      </c>
      <c r="K182" s="12">
        <v>36180</v>
      </c>
      <c r="L182" t="s">
        <v>0</v>
      </c>
      <c r="M182" s="12">
        <v>336154.41</v>
      </c>
      <c r="N182" t="s">
        <v>1</v>
      </c>
      <c r="O182" s="12">
        <v>9.2899999999999991</v>
      </c>
      <c r="P182" s="12">
        <v>65728.33</v>
      </c>
      <c r="Q182" s="12">
        <v>1.82</v>
      </c>
    </row>
    <row r="183" spans="1:17" x14ac:dyDescent="0.2">
      <c r="A183" t="s">
        <v>29</v>
      </c>
      <c r="B183" t="s">
        <v>30</v>
      </c>
      <c r="C183" s="5">
        <v>51056504.770000003</v>
      </c>
      <c r="D183" s="2">
        <v>44930</v>
      </c>
      <c r="E183" s="5">
        <f t="shared" si="6"/>
        <v>107218660.017</v>
      </c>
      <c r="F183" s="2">
        <v>44942</v>
      </c>
      <c r="G183" s="3" t="s">
        <v>326</v>
      </c>
      <c r="H183" t="s">
        <v>36</v>
      </c>
      <c r="I183" s="7">
        <v>35333</v>
      </c>
      <c r="J183" t="s">
        <v>22</v>
      </c>
      <c r="K183" s="12">
        <v>4.1429999999999998</v>
      </c>
      <c r="L183" t="s">
        <v>2</v>
      </c>
      <c r="M183" s="12">
        <v>58128.62</v>
      </c>
      <c r="N183" t="s">
        <v>1</v>
      </c>
      <c r="O183" s="12">
        <v>14030.56</v>
      </c>
      <c r="P183" s="12">
        <v>11365.9</v>
      </c>
      <c r="Q183" s="12">
        <v>2743.4</v>
      </c>
    </row>
    <row r="184" spans="1:17" x14ac:dyDescent="0.2">
      <c r="A184" t="s">
        <v>29</v>
      </c>
      <c r="B184" t="s">
        <v>30</v>
      </c>
      <c r="C184" s="5">
        <v>51056524.289999999</v>
      </c>
      <c r="D184" s="2">
        <v>44943</v>
      </c>
      <c r="E184" s="5">
        <f t="shared" si="6"/>
        <v>107218701.009</v>
      </c>
      <c r="F184" s="2">
        <v>44943</v>
      </c>
      <c r="G184" s="3" t="s">
        <v>412</v>
      </c>
      <c r="H184" t="s">
        <v>117</v>
      </c>
      <c r="I184" s="7">
        <v>35333</v>
      </c>
      <c r="J184" t="s">
        <v>22</v>
      </c>
      <c r="K184" s="12">
        <v>4.758</v>
      </c>
      <c r="L184" t="s">
        <v>2</v>
      </c>
      <c r="M184" s="12">
        <v>46041.83</v>
      </c>
      <c r="N184" t="s">
        <v>1</v>
      </c>
      <c r="O184" s="12">
        <v>9676.7199999999993</v>
      </c>
      <c r="P184" s="12">
        <v>9002.57</v>
      </c>
      <c r="Q184" s="12">
        <v>1892.09</v>
      </c>
    </row>
    <row r="185" spans="1:17" x14ac:dyDescent="0.2">
      <c r="A185" t="s">
        <v>29</v>
      </c>
      <c r="B185" t="s">
        <v>30</v>
      </c>
      <c r="C185" s="5">
        <v>51056526.660000004</v>
      </c>
      <c r="D185" s="2">
        <v>44936</v>
      </c>
      <c r="E185" s="5">
        <f t="shared" si="6"/>
        <v>107218705.98600002</v>
      </c>
      <c r="F185" s="2">
        <v>44943</v>
      </c>
      <c r="G185" s="3" t="s">
        <v>410</v>
      </c>
      <c r="H185" t="s">
        <v>115</v>
      </c>
      <c r="I185" s="7">
        <v>35333</v>
      </c>
      <c r="J185" t="s">
        <v>22</v>
      </c>
      <c r="K185" s="12">
        <v>3.04</v>
      </c>
      <c r="L185" t="s">
        <v>2</v>
      </c>
      <c r="M185" s="12">
        <v>44123.7</v>
      </c>
      <c r="N185" t="s">
        <v>1</v>
      </c>
      <c r="O185" s="12">
        <v>14514.38</v>
      </c>
      <c r="P185" s="12">
        <v>8627.52</v>
      </c>
      <c r="Q185" s="12">
        <v>2838</v>
      </c>
    </row>
    <row r="186" spans="1:17" x14ac:dyDescent="0.2">
      <c r="A186" t="s">
        <v>29</v>
      </c>
      <c r="B186" t="s">
        <v>30</v>
      </c>
      <c r="C186" s="5">
        <v>51056529.789999999</v>
      </c>
      <c r="D186" s="2">
        <v>44943</v>
      </c>
      <c r="E186" s="5">
        <f t="shared" si="6"/>
        <v>107218712.559</v>
      </c>
      <c r="F186" s="2">
        <v>44943</v>
      </c>
      <c r="G186" s="3" t="s">
        <v>389</v>
      </c>
      <c r="H186" t="s">
        <v>98</v>
      </c>
      <c r="I186" s="7">
        <v>49738</v>
      </c>
      <c r="J186" t="s">
        <v>21</v>
      </c>
      <c r="K186" s="12">
        <v>14100</v>
      </c>
      <c r="L186" t="s">
        <v>0</v>
      </c>
      <c r="M186" s="12">
        <v>128399.3</v>
      </c>
      <c r="N186" t="s">
        <v>1</v>
      </c>
      <c r="O186" s="12">
        <v>9.11</v>
      </c>
      <c r="P186" s="12">
        <v>25121.17</v>
      </c>
      <c r="Q186" s="12">
        <v>1.78</v>
      </c>
    </row>
    <row r="187" spans="1:17" x14ac:dyDescent="0.2">
      <c r="A187" t="s">
        <v>29</v>
      </c>
      <c r="B187" t="s">
        <v>30</v>
      </c>
      <c r="C187" s="5">
        <v>51056530.329999998</v>
      </c>
      <c r="D187" s="2">
        <v>44942</v>
      </c>
      <c r="E187" s="5">
        <f t="shared" si="6"/>
        <v>107218713.693</v>
      </c>
      <c r="F187" s="2">
        <v>44943</v>
      </c>
      <c r="G187" s="3" t="s">
        <v>413</v>
      </c>
      <c r="H187" t="s">
        <v>118</v>
      </c>
      <c r="I187" s="7">
        <v>49738</v>
      </c>
      <c r="J187" t="s">
        <v>21</v>
      </c>
      <c r="K187" s="12">
        <v>18000</v>
      </c>
      <c r="L187" t="s">
        <v>0</v>
      </c>
      <c r="M187" s="12">
        <v>164778</v>
      </c>
      <c r="N187" t="s">
        <v>1</v>
      </c>
      <c r="O187" s="12">
        <v>9.15</v>
      </c>
      <c r="P187" s="12">
        <v>32238.61</v>
      </c>
      <c r="Q187" s="12">
        <v>1.79</v>
      </c>
    </row>
    <row r="188" spans="1:17" x14ac:dyDescent="0.2">
      <c r="A188" t="s">
        <v>29</v>
      </c>
      <c r="B188" t="s">
        <v>30</v>
      </c>
      <c r="C188" s="5">
        <v>51056532.310000002</v>
      </c>
      <c r="D188" s="2">
        <v>44938</v>
      </c>
      <c r="E188" s="5">
        <f t="shared" si="6"/>
        <v>107218717.85100001</v>
      </c>
      <c r="F188" s="2">
        <v>44943</v>
      </c>
      <c r="G188" s="3" t="s">
        <v>402</v>
      </c>
      <c r="H188" t="s">
        <v>109</v>
      </c>
      <c r="I188" s="7">
        <v>49738</v>
      </c>
      <c r="J188" t="s">
        <v>21</v>
      </c>
      <c r="K188" s="12">
        <v>12000</v>
      </c>
      <c r="L188" t="s">
        <v>0</v>
      </c>
      <c r="M188" s="12">
        <v>140000</v>
      </c>
      <c r="N188" t="s">
        <v>1</v>
      </c>
      <c r="O188" s="12">
        <v>11.67</v>
      </c>
      <c r="P188" s="12">
        <v>27390.83</v>
      </c>
      <c r="Q188" s="12">
        <v>2.2799999999999998</v>
      </c>
    </row>
    <row r="189" spans="1:17" x14ac:dyDescent="0.2">
      <c r="A189" t="s">
        <v>29</v>
      </c>
      <c r="B189" t="s">
        <v>30</v>
      </c>
      <c r="C189" s="5">
        <v>51056532.5</v>
      </c>
      <c r="D189" s="2">
        <v>44932</v>
      </c>
      <c r="E189" s="5">
        <f t="shared" si="6"/>
        <v>107218718.25</v>
      </c>
      <c r="F189" s="2">
        <v>44932</v>
      </c>
      <c r="G189" s="3" t="s">
        <v>365</v>
      </c>
      <c r="H189" t="s">
        <v>74</v>
      </c>
      <c r="I189" s="7">
        <v>35334</v>
      </c>
      <c r="J189" t="s">
        <v>24</v>
      </c>
      <c r="K189" s="12">
        <v>22.8</v>
      </c>
      <c r="L189" t="s">
        <v>2</v>
      </c>
      <c r="M189" s="12">
        <v>220618.5</v>
      </c>
      <c r="N189" t="s">
        <v>1</v>
      </c>
      <c r="O189" s="12">
        <v>9676.25</v>
      </c>
      <c r="P189" s="12">
        <v>40554.550000000003</v>
      </c>
      <c r="Q189" s="12">
        <v>1778.71</v>
      </c>
    </row>
    <row r="190" spans="1:17" x14ac:dyDescent="0.2">
      <c r="A190" t="s">
        <v>29</v>
      </c>
      <c r="B190" t="s">
        <v>30</v>
      </c>
      <c r="C190" s="5">
        <v>51056532.75</v>
      </c>
      <c r="D190" s="2">
        <v>44943</v>
      </c>
      <c r="E190" s="5">
        <f t="shared" si="6"/>
        <v>107218718.77500001</v>
      </c>
      <c r="F190" s="2">
        <v>44943</v>
      </c>
      <c r="G190" s="3" t="s">
        <v>363</v>
      </c>
      <c r="H190" t="s">
        <v>72</v>
      </c>
      <c r="I190" s="7">
        <v>35334</v>
      </c>
      <c r="J190" t="s">
        <v>24</v>
      </c>
      <c r="K190" s="12">
        <v>6</v>
      </c>
      <c r="L190" t="s">
        <v>2</v>
      </c>
      <c r="M190" s="12">
        <v>87086.25</v>
      </c>
      <c r="N190" t="s">
        <v>1</v>
      </c>
      <c r="O190" s="12">
        <v>14514.38</v>
      </c>
      <c r="P190" s="12">
        <v>11366.06</v>
      </c>
      <c r="Q190" s="12">
        <v>1894.34</v>
      </c>
    </row>
    <row r="191" spans="1:17" x14ac:dyDescent="0.2">
      <c r="A191" t="s">
        <v>29</v>
      </c>
      <c r="B191" t="s">
        <v>30</v>
      </c>
      <c r="C191" s="5">
        <v>51056533.649999999</v>
      </c>
      <c r="D191" s="2">
        <v>44942</v>
      </c>
      <c r="E191" s="5">
        <f t="shared" si="6"/>
        <v>107218720.66500001</v>
      </c>
      <c r="F191" s="2">
        <v>44943</v>
      </c>
      <c r="G191" s="3" t="s">
        <v>414</v>
      </c>
      <c r="H191" t="s">
        <v>119</v>
      </c>
      <c r="I191" s="7">
        <v>49738</v>
      </c>
      <c r="J191" t="s">
        <v>21</v>
      </c>
      <c r="K191" s="12">
        <v>18000</v>
      </c>
      <c r="L191" t="s">
        <v>0</v>
      </c>
      <c r="M191" s="12">
        <v>164475</v>
      </c>
      <c r="N191" t="s">
        <v>1</v>
      </c>
      <c r="O191" s="12">
        <v>9.14</v>
      </c>
      <c r="P191" s="12">
        <v>32179.33</v>
      </c>
      <c r="Q191" s="12">
        <v>1.79</v>
      </c>
    </row>
    <row r="192" spans="1:17" x14ac:dyDescent="0.2">
      <c r="A192" t="s">
        <v>29</v>
      </c>
      <c r="B192" t="s">
        <v>30</v>
      </c>
      <c r="C192" s="5">
        <v>51056534.530000001</v>
      </c>
      <c r="D192" s="2">
        <v>44943</v>
      </c>
      <c r="E192" s="5">
        <f t="shared" si="6"/>
        <v>107218722.51300001</v>
      </c>
      <c r="F192" s="2">
        <v>44943</v>
      </c>
      <c r="G192" s="3" t="s">
        <v>347</v>
      </c>
      <c r="H192" t="s">
        <v>57</v>
      </c>
      <c r="I192" s="7">
        <v>35334</v>
      </c>
      <c r="J192" t="s">
        <v>24</v>
      </c>
      <c r="K192" s="12">
        <v>3</v>
      </c>
      <c r="L192" t="s">
        <v>2</v>
      </c>
      <c r="M192" s="12">
        <v>42768.06</v>
      </c>
      <c r="N192" t="s">
        <v>1</v>
      </c>
      <c r="O192" s="12">
        <v>14256.02</v>
      </c>
      <c r="P192" s="12">
        <v>8362.7000000000007</v>
      </c>
      <c r="Q192" s="12">
        <v>2787.57</v>
      </c>
    </row>
    <row r="193" spans="1:17" x14ac:dyDescent="0.2">
      <c r="A193" t="s">
        <v>29</v>
      </c>
      <c r="B193" t="s">
        <v>30</v>
      </c>
      <c r="C193" s="5">
        <v>51056538.579999998</v>
      </c>
      <c r="D193" s="2">
        <v>44943</v>
      </c>
      <c r="E193" s="5">
        <f t="shared" si="6"/>
        <v>107218731.01800001</v>
      </c>
      <c r="F193" s="2">
        <v>44943</v>
      </c>
      <c r="G193" s="3" t="s">
        <v>369</v>
      </c>
      <c r="H193" t="s">
        <v>78</v>
      </c>
      <c r="I193" s="7">
        <v>35334</v>
      </c>
      <c r="J193" t="s">
        <v>24</v>
      </c>
      <c r="K193" s="12">
        <v>15</v>
      </c>
      <c r="L193" t="s">
        <v>2</v>
      </c>
      <c r="M193" s="12">
        <v>208039.38</v>
      </c>
      <c r="N193" t="s">
        <v>1</v>
      </c>
      <c r="O193" s="12">
        <v>13869.29</v>
      </c>
      <c r="P193" s="12">
        <v>28435.03</v>
      </c>
      <c r="Q193" s="12">
        <v>1895.67</v>
      </c>
    </row>
    <row r="194" spans="1:17" x14ac:dyDescent="0.2">
      <c r="A194" t="s">
        <v>29</v>
      </c>
      <c r="B194" t="s">
        <v>30</v>
      </c>
      <c r="C194" s="5">
        <v>51056538.719999999</v>
      </c>
      <c r="D194" s="2">
        <v>44910</v>
      </c>
      <c r="E194" s="5">
        <f t="shared" si="6"/>
        <v>107218731.31200001</v>
      </c>
      <c r="F194" s="2">
        <v>44943</v>
      </c>
      <c r="G194" s="3" t="s">
        <v>415</v>
      </c>
      <c r="H194" t="s">
        <v>120</v>
      </c>
      <c r="I194" s="7">
        <v>35335</v>
      </c>
      <c r="J194" t="s">
        <v>25</v>
      </c>
      <c r="K194" s="12">
        <v>30</v>
      </c>
      <c r="L194" t="s">
        <v>2</v>
      </c>
      <c r="M194" s="12">
        <v>419065.8</v>
      </c>
      <c r="N194" t="s">
        <v>1</v>
      </c>
      <c r="O194" s="12">
        <v>13968.86</v>
      </c>
      <c r="P194" s="12">
        <v>81926.460000000006</v>
      </c>
      <c r="Q194" s="12">
        <v>2730.88</v>
      </c>
    </row>
    <row r="195" spans="1:17" x14ac:dyDescent="0.2">
      <c r="A195" t="s">
        <v>29</v>
      </c>
      <c r="B195" t="s">
        <v>30</v>
      </c>
      <c r="C195" s="5">
        <v>51056538.75</v>
      </c>
      <c r="D195" s="2">
        <v>44919</v>
      </c>
      <c r="E195" s="5">
        <f t="shared" si="6"/>
        <v>107218731.375</v>
      </c>
      <c r="F195" s="2">
        <v>44943</v>
      </c>
      <c r="G195" s="3" t="s">
        <v>394</v>
      </c>
      <c r="H195" t="s">
        <v>102</v>
      </c>
      <c r="I195" s="7">
        <v>35334</v>
      </c>
      <c r="J195" t="s">
        <v>24</v>
      </c>
      <c r="K195" s="12">
        <v>30</v>
      </c>
      <c r="L195" t="s">
        <v>2</v>
      </c>
      <c r="M195" s="12">
        <v>406402.5</v>
      </c>
      <c r="N195" t="s">
        <v>1</v>
      </c>
      <c r="O195" s="12">
        <v>13546.75</v>
      </c>
      <c r="P195" s="12">
        <v>79463.960000000006</v>
      </c>
      <c r="Q195" s="12">
        <v>2648.8</v>
      </c>
    </row>
    <row r="196" spans="1:17" x14ac:dyDescent="0.2">
      <c r="A196" t="s">
        <v>29</v>
      </c>
      <c r="B196" t="s">
        <v>30</v>
      </c>
      <c r="C196" s="5">
        <v>51056540.079999998</v>
      </c>
      <c r="D196" s="2">
        <v>44911</v>
      </c>
      <c r="E196" s="5">
        <f t="shared" si="6"/>
        <v>107218734.168</v>
      </c>
      <c r="F196" s="2">
        <v>44943</v>
      </c>
      <c r="G196" s="3" t="s">
        <v>416</v>
      </c>
      <c r="H196" t="s">
        <v>121</v>
      </c>
      <c r="I196" s="7">
        <v>35334</v>
      </c>
      <c r="J196" t="s">
        <v>24</v>
      </c>
      <c r="K196" s="12">
        <v>3.1840000000000002</v>
      </c>
      <c r="L196" t="s">
        <v>2</v>
      </c>
      <c r="M196" s="12">
        <v>44365.22</v>
      </c>
      <c r="N196" t="s">
        <v>1</v>
      </c>
      <c r="O196" s="12">
        <v>13933.8</v>
      </c>
      <c r="P196" s="12">
        <v>8674.76</v>
      </c>
      <c r="Q196" s="12">
        <v>2724.48</v>
      </c>
    </row>
    <row r="197" spans="1:17" x14ac:dyDescent="0.2">
      <c r="A197" t="s">
        <v>29</v>
      </c>
      <c r="B197" t="s">
        <v>30</v>
      </c>
      <c r="C197" s="5">
        <v>51056544.800000004</v>
      </c>
      <c r="D197" s="2">
        <v>44943</v>
      </c>
      <c r="E197" s="5">
        <f t="shared" si="6"/>
        <v>107218744.08000001</v>
      </c>
      <c r="F197" s="2">
        <v>44943</v>
      </c>
      <c r="G197" s="3" t="s">
        <v>417</v>
      </c>
      <c r="H197" t="s">
        <v>122</v>
      </c>
      <c r="I197" s="7">
        <v>49689</v>
      </c>
      <c r="J197" t="s">
        <v>20</v>
      </c>
      <c r="K197" s="12">
        <v>61870</v>
      </c>
      <c r="L197" t="s">
        <v>0</v>
      </c>
      <c r="M197" s="12">
        <v>1047912.61</v>
      </c>
      <c r="N197" t="s">
        <v>1</v>
      </c>
      <c r="O197" s="12">
        <v>16.940000000000001</v>
      </c>
      <c r="P197" s="12">
        <v>205022.81</v>
      </c>
      <c r="Q197" s="12">
        <v>3.31</v>
      </c>
    </row>
    <row r="198" spans="1:17" x14ac:dyDescent="0.2">
      <c r="A198" t="s">
        <v>29</v>
      </c>
      <c r="B198" t="s">
        <v>30</v>
      </c>
      <c r="C198" s="5">
        <v>51056546.210000001</v>
      </c>
      <c r="D198" s="2">
        <v>44919</v>
      </c>
      <c r="E198" s="5">
        <f t="shared" si="6"/>
        <v>107218747.04100001</v>
      </c>
      <c r="F198" s="2">
        <v>44943</v>
      </c>
      <c r="G198" s="3" t="s">
        <v>340</v>
      </c>
      <c r="H198" t="s">
        <v>50</v>
      </c>
      <c r="I198" s="7">
        <v>35334</v>
      </c>
      <c r="J198" t="s">
        <v>24</v>
      </c>
      <c r="K198" s="12">
        <v>18</v>
      </c>
      <c r="L198" t="s">
        <v>2</v>
      </c>
      <c r="M198" s="12">
        <v>265787.23</v>
      </c>
      <c r="N198" t="s">
        <v>1</v>
      </c>
      <c r="O198" s="12">
        <v>14765.96</v>
      </c>
      <c r="P198" s="12">
        <v>49215.22</v>
      </c>
      <c r="Q198" s="12">
        <v>2734.18</v>
      </c>
    </row>
    <row r="199" spans="1:17" x14ac:dyDescent="0.2">
      <c r="A199" t="s">
        <v>29</v>
      </c>
      <c r="B199" t="s">
        <v>30</v>
      </c>
      <c r="C199" s="5">
        <v>51056547.620000005</v>
      </c>
      <c r="D199" s="2">
        <v>44943</v>
      </c>
      <c r="E199" s="5">
        <f t="shared" si="6"/>
        <v>107218750.00200002</v>
      </c>
      <c r="F199" s="2">
        <v>44943</v>
      </c>
      <c r="G199" s="3" t="s">
        <v>418</v>
      </c>
      <c r="H199" t="s">
        <v>123</v>
      </c>
      <c r="I199" s="7">
        <v>49738</v>
      </c>
      <c r="J199" t="s">
        <v>21</v>
      </c>
      <c r="K199" s="12">
        <v>42000</v>
      </c>
      <c r="L199" t="s">
        <v>0</v>
      </c>
      <c r="M199" s="12">
        <v>378308</v>
      </c>
      <c r="N199" t="s">
        <v>1</v>
      </c>
      <c r="O199" s="12">
        <v>9.01</v>
      </c>
      <c r="P199" s="12">
        <v>74015.5</v>
      </c>
      <c r="Q199" s="12">
        <v>1.76</v>
      </c>
    </row>
    <row r="200" spans="1:17" x14ac:dyDescent="0.2">
      <c r="A200" t="s">
        <v>29</v>
      </c>
      <c r="B200" t="s">
        <v>30</v>
      </c>
      <c r="C200" s="5">
        <v>51056547.700000003</v>
      </c>
      <c r="D200" s="2">
        <v>44943</v>
      </c>
      <c r="E200" s="5">
        <f t="shared" si="6"/>
        <v>107218750.17000002</v>
      </c>
      <c r="F200" s="2">
        <v>44943</v>
      </c>
      <c r="G200" s="3" t="s">
        <v>418</v>
      </c>
      <c r="H200" t="s">
        <v>123</v>
      </c>
      <c r="I200" s="7">
        <v>49738</v>
      </c>
      <c r="J200" t="s">
        <v>21</v>
      </c>
      <c r="K200" s="12">
        <v>24000</v>
      </c>
      <c r="L200" t="s">
        <v>0</v>
      </c>
      <c r="M200" s="12">
        <v>216176</v>
      </c>
      <c r="N200" t="s">
        <v>1</v>
      </c>
      <c r="O200" s="12">
        <v>9.01</v>
      </c>
      <c r="P200" s="12">
        <v>42294.57</v>
      </c>
      <c r="Q200" s="12">
        <v>1.76</v>
      </c>
    </row>
    <row r="201" spans="1:17" x14ac:dyDescent="0.2">
      <c r="A201" t="s">
        <v>29</v>
      </c>
      <c r="B201" t="s">
        <v>30</v>
      </c>
      <c r="C201" s="5">
        <v>51056549.039999999</v>
      </c>
      <c r="D201" s="2">
        <v>44937</v>
      </c>
      <c r="E201" s="5">
        <f t="shared" si="6"/>
        <v>107218752.984</v>
      </c>
      <c r="F201" s="2">
        <v>44943</v>
      </c>
      <c r="G201" s="3" t="s">
        <v>419</v>
      </c>
      <c r="H201" t="s">
        <v>124</v>
      </c>
      <c r="I201" s="7">
        <v>33321</v>
      </c>
      <c r="J201" t="s">
        <v>26</v>
      </c>
      <c r="K201" s="12">
        <v>5000</v>
      </c>
      <c r="L201" t="s">
        <v>0</v>
      </c>
      <c r="M201" s="12">
        <v>44831.35</v>
      </c>
      <c r="N201" t="s">
        <v>1</v>
      </c>
      <c r="O201" s="12">
        <v>8.9700000000000006</v>
      </c>
      <c r="P201" s="12">
        <v>9136.7999999999993</v>
      </c>
      <c r="Q201" s="12">
        <v>1.83</v>
      </c>
    </row>
    <row r="202" spans="1:17" x14ac:dyDescent="0.2">
      <c r="A202" t="s">
        <v>29</v>
      </c>
      <c r="B202" t="s">
        <v>30</v>
      </c>
      <c r="C202" s="5">
        <v>51056550.140000001</v>
      </c>
      <c r="D202" s="2">
        <v>44944</v>
      </c>
      <c r="E202" s="5">
        <f t="shared" si="6"/>
        <v>107218755.294</v>
      </c>
      <c r="F202" s="2">
        <v>44943</v>
      </c>
      <c r="G202" s="3" t="s">
        <v>412</v>
      </c>
      <c r="H202" t="s">
        <v>117</v>
      </c>
      <c r="I202" s="7">
        <v>35333</v>
      </c>
      <c r="J202" t="s">
        <v>22</v>
      </c>
      <c r="K202" s="12">
        <v>4.1959999999999997</v>
      </c>
      <c r="L202" t="s">
        <v>2</v>
      </c>
      <c r="M202" s="12">
        <v>40603.519999999997</v>
      </c>
      <c r="N202" t="s">
        <v>1</v>
      </c>
      <c r="O202" s="12">
        <v>9676.7199999999993</v>
      </c>
      <c r="P202" s="12">
        <v>7930.38</v>
      </c>
      <c r="Q202" s="12">
        <v>1889.99</v>
      </c>
    </row>
    <row r="203" spans="1:17" x14ac:dyDescent="0.2">
      <c r="A203" t="s">
        <v>29</v>
      </c>
      <c r="B203" t="s">
        <v>30</v>
      </c>
      <c r="C203" s="5">
        <v>51056550.609999999</v>
      </c>
      <c r="D203" s="2">
        <v>44943</v>
      </c>
      <c r="E203" s="5">
        <f t="shared" si="6"/>
        <v>107218756.281</v>
      </c>
      <c r="F203" s="2">
        <v>44943</v>
      </c>
      <c r="G203" s="3" t="s">
        <v>420</v>
      </c>
      <c r="H203" t="s">
        <v>125</v>
      </c>
      <c r="I203" s="7">
        <v>49689</v>
      </c>
      <c r="J203" t="s">
        <v>20</v>
      </c>
      <c r="K203" s="12">
        <v>3780</v>
      </c>
      <c r="L203" t="s">
        <v>0</v>
      </c>
      <c r="M203" s="12">
        <v>62096.58</v>
      </c>
      <c r="N203" t="s">
        <v>1</v>
      </c>
      <c r="O203" s="12">
        <v>16.43</v>
      </c>
      <c r="P203" s="12">
        <v>12149.12</v>
      </c>
      <c r="Q203" s="12">
        <v>3.21</v>
      </c>
    </row>
    <row r="204" spans="1:17" x14ac:dyDescent="0.2">
      <c r="A204" t="s">
        <v>29</v>
      </c>
      <c r="B204" t="s">
        <v>30</v>
      </c>
      <c r="C204" s="5">
        <v>51056550.630000003</v>
      </c>
      <c r="D204" s="2">
        <v>44943</v>
      </c>
      <c r="E204" s="5">
        <f t="shared" si="6"/>
        <v>107218756.32300001</v>
      </c>
      <c r="F204" s="2">
        <v>44943</v>
      </c>
      <c r="G204" s="3" t="s">
        <v>421</v>
      </c>
      <c r="H204" t="s">
        <v>126</v>
      </c>
      <c r="I204" s="7">
        <v>49738</v>
      </c>
      <c r="J204" t="s">
        <v>21</v>
      </c>
      <c r="K204" s="12">
        <v>14400</v>
      </c>
      <c r="L204" t="s">
        <v>0</v>
      </c>
      <c r="M204" s="12">
        <v>128306.4</v>
      </c>
      <c r="N204" t="s">
        <v>1</v>
      </c>
      <c r="O204" s="12">
        <v>8.91</v>
      </c>
      <c r="P204" s="12">
        <v>25102.54</v>
      </c>
      <c r="Q204" s="12">
        <v>1.74</v>
      </c>
    </row>
    <row r="205" spans="1:17" x14ac:dyDescent="0.2">
      <c r="A205" t="s">
        <v>29</v>
      </c>
      <c r="B205" t="s">
        <v>30</v>
      </c>
      <c r="C205" s="5">
        <v>51056550.759999998</v>
      </c>
      <c r="D205" s="2">
        <v>44944</v>
      </c>
      <c r="E205" s="5">
        <f t="shared" si="6"/>
        <v>107218756.596</v>
      </c>
      <c r="F205" s="2">
        <v>44943</v>
      </c>
      <c r="G205" s="3" t="s">
        <v>363</v>
      </c>
      <c r="H205" t="s">
        <v>72</v>
      </c>
      <c r="I205" s="7">
        <v>35334</v>
      </c>
      <c r="J205" t="s">
        <v>24</v>
      </c>
      <c r="K205" s="12">
        <v>6</v>
      </c>
      <c r="L205" t="s">
        <v>2</v>
      </c>
      <c r="M205" s="12">
        <v>87086.25</v>
      </c>
      <c r="N205" t="s">
        <v>1</v>
      </c>
      <c r="O205" s="12">
        <v>14514.38</v>
      </c>
      <c r="P205" s="12">
        <v>11359.43</v>
      </c>
      <c r="Q205" s="12">
        <v>1893.24</v>
      </c>
    </row>
    <row r="206" spans="1:17" x14ac:dyDescent="0.2">
      <c r="A206" t="s">
        <v>29</v>
      </c>
      <c r="B206" t="s">
        <v>30</v>
      </c>
      <c r="C206" s="5">
        <v>51056552.050000004</v>
      </c>
      <c r="D206" s="2">
        <v>44943</v>
      </c>
      <c r="E206" s="5">
        <f t="shared" si="6"/>
        <v>107218759.30500001</v>
      </c>
      <c r="F206" s="2">
        <v>44943</v>
      </c>
      <c r="G206" s="3" t="s">
        <v>422</v>
      </c>
      <c r="H206" t="s">
        <v>127</v>
      </c>
      <c r="I206" s="7">
        <v>49689</v>
      </c>
      <c r="J206" t="s">
        <v>20</v>
      </c>
      <c r="K206" s="12">
        <v>4431</v>
      </c>
      <c r="L206" t="s">
        <v>0</v>
      </c>
      <c r="M206" s="12">
        <v>72380.39</v>
      </c>
      <c r="N206" t="s">
        <v>1</v>
      </c>
      <c r="O206" s="12">
        <v>16.34</v>
      </c>
      <c r="P206" s="12">
        <v>14161.13</v>
      </c>
      <c r="Q206" s="12">
        <v>3.2</v>
      </c>
    </row>
    <row r="207" spans="1:17" x14ac:dyDescent="0.2">
      <c r="A207" t="s">
        <v>29</v>
      </c>
      <c r="B207" t="s">
        <v>30</v>
      </c>
      <c r="C207" s="5">
        <v>51056573.640000001</v>
      </c>
      <c r="D207" s="2">
        <v>44942</v>
      </c>
      <c r="E207" s="5">
        <f t="shared" si="6"/>
        <v>107218804.64400001</v>
      </c>
      <c r="F207" s="2">
        <v>44944</v>
      </c>
      <c r="G207" s="3" t="s">
        <v>390</v>
      </c>
      <c r="H207" t="s">
        <v>99</v>
      </c>
      <c r="I207" s="7">
        <v>49731</v>
      </c>
      <c r="J207" t="s">
        <v>23</v>
      </c>
      <c r="K207" s="12">
        <v>6000</v>
      </c>
      <c r="L207" t="s">
        <v>0</v>
      </c>
      <c r="M207" s="12">
        <v>105900</v>
      </c>
      <c r="N207" t="s">
        <v>1</v>
      </c>
      <c r="O207" s="12">
        <v>17.649999999999999</v>
      </c>
      <c r="P207" s="12">
        <v>20683.59</v>
      </c>
      <c r="Q207" s="12">
        <v>3.45</v>
      </c>
    </row>
    <row r="208" spans="1:17" x14ac:dyDescent="0.2">
      <c r="A208" t="s">
        <v>29</v>
      </c>
      <c r="B208" t="s">
        <v>30</v>
      </c>
      <c r="C208" s="5">
        <v>51056573.660000004</v>
      </c>
      <c r="D208" s="2">
        <v>44943</v>
      </c>
      <c r="E208" s="5">
        <f t="shared" si="6"/>
        <v>107218804.68600002</v>
      </c>
      <c r="F208" s="2">
        <v>44944</v>
      </c>
      <c r="G208" s="3" t="s">
        <v>423</v>
      </c>
      <c r="H208" t="s">
        <v>128</v>
      </c>
      <c r="I208" s="7">
        <v>49689</v>
      </c>
      <c r="J208" t="s">
        <v>20</v>
      </c>
      <c r="K208" s="12">
        <v>21000</v>
      </c>
      <c r="L208" t="s">
        <v>0</v>
      </c>
      <c r="M208" s="12">
        <v>311500</v>
      </c>
      <c r="N208" t="s">
        <v>1</v>
      </c>
      <c r="O208" s="12">
        <v>14.83</v>
      </c>
      <c r="P208" s="12">
        <v>60839.839999999997</v>
      </c>
      <c r="Q208" s="12">
        <v>2.9</v>
      </c>
    </row>
    <row r="209" spans="1:17" x14ac:dyDescent="0.2">
      <c r="A209" t="s">
        <v>29</v>
      </c>
      <c r="B209" t="s">
        <v>30</v>
      </c>
      <c r="C209" s="5">
        <v>51056573.75</v>
      </c>
      <c r="D209" s="2">
        <v>44943</v>
      </c>
      <c r="E209" s="5">
        <f t="shared" si="6"/>
        <v>107218804.875</v>
      </c>
      <c r="F209" s="2">
        <v>44944</v>
      </c>
      <c r="G209" s="3" t="s">
        <v>424</v>
      </c>
      <c r="H209" t="s">
        <v>129</v>
      </c>
      <c r="I209" s="7">
        <v>49689</v>
      </c>
      <c r="J209" t="s">
        <v>20</v>
      </c>
      <c r="K209" s="12">
        <v>2102.9</v>
      </c>
      <c r="L209" t="s">
        <v>0</v>
      </c>
      <c r="M209" s="12">
        <v>35349.75</v>
      </c>
      <c r="N209" t="s">
        <v>1</v>
      </c>
      <c r="O209" s="12">
        <v>16.809999999999999</v>
      </c>
      <c r="P209" s="12">
        <v>6904.25</v>
      </c>
      <c r="Q209" s="12">
        <v>3.28</v>
      </c>
    </row>
    <row r="210" spans="1:17" x14ac:dyDescent="0.2">
      <c r="A210" t="s">
        <v>29</v>
      </c>
      <c r="B210" t="s">
        <v>30</v>
      </c>
      <c r="C210" s="5">
        <v>51056574.020000003</v>
      </c>
      <c r="D210" s="2">
        <v>44943</v>
      </c>
      <c r="E210" s="5">
        <f t="shared" si="6"/>
        <v>107218805.44200002</v>
      </c>
      <c r="F210" s="2">
        <v>44944</v>
      </c>
      <c r="G210" s="3" t="s">
        <v>425</v>
      </c>
      <c r="H210" t="s">
        <v>130</v>
      </c>
      <c r="I210" s="7">
        <v>49689</v>
      </c>
      <c r="J210" t="s">
        <v>20</v>
      </c>
      <c r="K210" s="12">
        <v>7080</v>
      </c>
      <c r="L210" t="s">
        <v>0</v>
      </c>
      <c r="M210" s="12">
        <v>115160.45</v>
      </c>
      <c r="N210" t="s">
        <v>1</v>
      </c>
      <c r="O210" s="12">
        <v>16.27</v>
      </c>
      <c r="P210" s="12">
        <v>22492.28</v>
      </c>
      <c r="Q210" s="12">
        <v>3.18</v>
      </c>
    </row>
    <row r="211" spans="1:17" x14ac:dyDescent="0.2">
      <c r="A211" t="s">
        <v>29</v>
      </c>
      <c r="B211" t="s">
        <v>30</v>
      </c>
      <c r="C211" s="5">
        <v>51056574.030000001</v>
      </c>
      <c r="D211" s="2">
        <v>44943</v>
      </c>
      <c r="E211" s="5">
        <f t="shared" si="6"/>
        <v>107218805.46300001</v>
      </c>
      <c r="F211" s="2">
        <v>44944</v>
      </c>
      <c r="G211" s="3" t="s">
        <v>420</v>
      </c>
      <c r="H211" t="s">
        <v>125</v>
      </c>
      <c r="I211" s="7">
        <v>49689</v>
      </c>
      <c r="J211" t="s">
        <v>20</v>
      </c>
      <c r="K211" s="12">
        <v>18000</v>
      </c>
      <c r="L211" t="s">
        <v>0</v>
      </c>
      <c r="M211" s="12">
        <v>250350</v>
      </c>
      <c r="N211" t="s">
        <v>1</v>
      </c>
      <c r="O211" s="12">
        <v>13.91</v>
      </c>
      <c r="P211" s="12">
        <v>48896.480000000003</v>
      </c>
      <c r="Q211" s="12">
        <v>2.72</v>
      </c>
    </row>
    <row r="212" spans="1:17" x14ac:dyDescent="0.2">
      <c r="A212" t="s">
        <v>29</v>
      </c>
      <c r="B212" t="s">
        <v>30</v>
      </c>
      <c r="C212" s="5">
        <v>51056574.050000004</v>
      </c>
      <c r="D212" s="2">
        <v>44943</v>
      </c>
      <c r="E212" s="5">
        <f t="shared" si="6"/>
        <v>107218805.50500001</v>
      </c>
      <c r="F212" s="2">
        <v>44944</v>
      </c>
      <c r="G212" s="3" t="s">
        <v>426</v>
      </c>
      <c r="H212" t="s">
        <v>131</v>
      </c>
      <c r="I212" s="7">
        <v>49689</v>
      </c>
      <c r="J212" t="s">
        <v>20</v>
      </c>
      <c r="K212" s="12">
        <v>6000</v>
      </c>
      <c r="L212" t="s">
        <v>0</v>
      </c>
      <c r="M212" s="12">
        <v>100000</v>
      </c>
      <c r="N212" t="s">
        <v>1</v>
      </c>
      <c r="O212" s="12">
        <v>16.670000000000002</v>
      </c>
      <c r="P212" s="12">
        <v>19531.25</v>
      </c>
      <c r="Q212" s="12">
        <v>3.26</v>
      </c>
    </row>
    <row r="213" spans="1:17" x14ac:dyDescent="0.2">
      <c r="A213" t="s">
        <v>29</v>
      </c>
      <c r="B213" t="s">
        <v>30</v>
      </c>
      <c r="C213" s="5">
        <v>51056574.609999999</v>
      </c>
      <c r="D213" s="2">
        <v>44942</v>
      </c>
      <c r="E213" s="5">
        <f t="shared" si="6"/>
        <v>107218806.68100001</v>
      </c>
      <c r="F213" s="2">
        <v>44944</v>
      </c>
      <c r="G213" s="3" t="s">
        <v>427</v>
      </c>
      <c r="H213" t="s">
        <v>132</v>
      </c>
      <c r="I213" s="7">
        <v>49689</v>
      </c>
      <c r="J213" t="s">
        <v>20</v>
      </c>
      <c r="K213" s="12">
        <v>5052.7</v>
      </c>
      <c r="L213" t="s">
        <v>0</v>
      </c>
      <c r="M213" s="12">
        <v>82225.11</v>
      </c>
      <c r="N213" t="s">
        <v>1</v>
      </c>
      <c r="O213" s="12">
        <v>16.27</v>
      </c>
      <c r="P213" s="12">
        <v>16059.59</v>
      </c>
      <c r="Q213" s="12">
        <v>3.18</v>
      </c>
    </row>
    <row r="214" spans="1:17" x14ac:dyDescent="0.2">
      <c r="A214" t="s">
        <v>29</v>
      </c>
      <c r="B214" t="s">
        <v>30</v>
      </c>
      <c r="C214" s="5">
        <v>51056574.640000001</v>
      </c>
      <c r="D214" s="2">
        <v>44943</v>
      </c>
      <c r="E214" s="5">
        <f t="shared" si="6"/>
        <v>107218806.744</v>
      </c>
      <c r="F214" s="2">
        <v>44944</v>
      </c>
      <c r="G214" s="3" t="s">
        <v>428</v>
      </c>
      <c r="H214" t="s">
        <v>133</v>
      </c>
      <c r="I214" s="7">
        <v>49689</v>
      </c>
      <c r="J214" t="s">
        <v>20</v>
      </c>
      <c r="K214" s="12">
        <v>2410.1</v>
      </c>
      <c r="L214" t="s">
        <v>0</v>
      </c>
      <c r="M214" s="12">
        <v>40754.79</v>
      </c>
      <c r="N214" t="s">
        <v>1</v>
      </c>
      <c r="O214" s="12">
        <v>16.91</v>
      </c>
      <c r="P214" s="12">
        <v>7959.92</v>
      </c>
      <c r="Q214" s="12">
        <v>3.3</v>
      </c>
    </row>
    <row r="215" spans="1:17" x14ac:dyDescent="0.2">
      <c r="A215" t="s">
        <v>29</v>
      </c>
      <c r="B215" t="s">
        <v>30</v>
      </c>
      <c r="C215" s="5">
        <v>51056574.810000002</v>
      </c>
      <c r="D215" s="2">
        <v>44943</v>
      </c>
      <c r="E215" s="5">
        <f t="shared" si="6"/>
        <v>107218807.10100001</v>
      </c>
      <c r="F215" s="2">
        <v>44944</v>
      </c>
      <c r="G215" s="3" t="s">
        <v>429</v>
      </c>
      <c r="H215" t="s">
        <v>134</v>
      </c>
      <c r="I215" s="7">
        <v>49689</v>
      </c>
      <c r="J215" t="s">
        <v>20</v>
      </c>
      <c r="K215" s="12">
        <v>3710</v>
      </c>
      <c r="L215" t="s">
        <v>0</v>
      </c>
      <c r="M215" s="12">
        <v>63292.6</v>
      </c>
      <c r="N215" t="s">
        <v>1</v>
      </c>
      <c r="O215" s="12">
        <v>17.059999999999999</v>
      </c>
      <c r="P215" s="12">
        <v>12361.84</v>
      </c>
      <c r="Q215" s="12">
        <v>3.33</v>
      </c>
    </row>
    <row r="216" spans="1:17" x14ac:dyDescent="0.2">
      <c r="A216" t="s">
        <v>29</v>
      </c>
      <c r="B216" t="s">
        <v>30</v>
      </c>
      <c r="C216" s="5">
        <v>51056574.82</v>
      </c>
      <c r="D216" s="2">
        <v>44943</v>
      </c>
      <c r="E216" s="5">
        <f t="shared" si="6"/>
        <v>107218807.12200001</v>
      </c>
      <c r="F216" s="2">
        <v>44944</v>
      </c>
      <c r="G216" s="3" t="s">
        <v>351</v>
      </c>
      <c r="H216" t="s">
        <v>60</v>
      </c>
      <c r="I216" s="7">
        <v>49689</v>
      </c>
      <c r="J216" t="s">
        <v>20</v>
      </c>
      <c r="K216" s="12">
        <v>7500</v>
      </c>
      <c r="L216" t="s">
        <v>0</v>
      </c>
      <c r="M216" s="12">
        <v>91841.25</v>
      </c>
      <c r="N216" t="s">
        <v>1</v>
      </c>
      <c r="O216" s="12">
        <v>12.25</v>
      </c>
      <c r="P216" s="12">
        <v>17944.34</v>
      </c>
      <c r="Q216" s="12">
        <v>2.39</v>
      </c>
    </row>
    <row r="217" spans="1:17" x14ac:dyDescent="0.2">
      <c r="A217" t="s">
        <v>29</v>
      </c>
      <c r="B217" t="s">
        <v>30</v>
      </c>
      <c r="C217" s="5">
        <v>51056574.829999998</v>
      </c>
      <c r="D217" s="2">
        <v>44943</v>
      </c>
      <c r="E217" s="5">
        <f t="shared" si="6"/>
        <v>107218807.14300001</v>
      </c>
      <c r="F217" s="2">
        <v>44944</v>
      </c>
      <c r="G217" s="3" t="s">
        <v>430</v>
      </c>
      <c r="H217" t="s">
        <v>135</v>
      </c>
      <c r="I217" s="7">
        <v>49689</v>
      </c>
      <c r="J217" t="s">
        <v>20</v>
      </c>
      <c r="K217" s="12">
        <v>12600</v>
      </c>
      <c r="L217" t="s">
        <v>0</v>
      </c>
      <c r="M217" s="12">
        <v>180578.99</v>
      </c>
      <c r="N217" t="s">
        <v>1</v>
      </c>
      <c r="O217" s="12">
        <v>14.33</v>
      </c>
      <c r="P217" s="12">
        <v>35269.33</v>
      </c>
      <c r="Q217" s="12">
        <v>2.8</v>
      </c>
    </row>
    <row r="218" spans="1:17" x14ac:dyDescent="0.2">
      <c r="A218" t="s">
        <v>29</v>
      </c>
      <c r="B218" t="s">
        <v>30</v>
      </c>
      <c r="C218" s="5">
        <v>51056574.840000004</v>
      </c>
      <c r="D218" s="2">
        <v>44943</v>
      </c>
      <c r="E218" s="5">
        <f t="shared" si="6"/>
        <v>107218807.16400002</v>
      </c>
      <c r="F218" s="2">
        <v>44944</v>
      </c>
      <c r="G218" s="3" t="s">
        <v>431</v>
      </c>
      <c r="H218" t="s">
        <v>136</v>
      </c>
      <c r="I218" s="7">
        <v>49689</v>
      </c>
      <c r="J218" t="s">
        <v>20</v>
      </c>
      <c r="K218" s="12">
        <v>60000</v>
      </c>
      <c r="L218" t="s">
        <v>0</v>
      </c>
      <c r="M218" s="12">
        <v>1020300</v>
      </c>
      <c r="N218" t="s">
        <v>1</v>
      </c>
      <c r="O218" s="12">
        <v>17.010000000000002</v>
      </c>
      <c r="P218" s="12">
        <v>199277.34</v>
      </c>
      <c r="Q218" s="12">
        <v>3.32</v>
      </c>
    </row>
    <row r="219" spans="1:17" x14ac:dyDescent="0.2">
      <c r="A219" t="s">
        <v>29</v>
      </c>
      <c r="B219" t="s">
        <v>30</v>
      </c>
      <c r="C219" s="5">
        <v>51056574.859999999</v>
      </c>
      <c r="D219" s="2">
        <v>44943</v>
      </c>
      <c r="E219" s="5">
        <f t="shared" si="6"/>
        <v>107218807.206</v>
      </c>
      <c r="F219" s="2">
        <v>44944</v>
      </c>
      <c r="G219" s="3" t="s">
        <v>432</v>
      </c>
      <c r="H219" t="s">
        <v>137</v>
      </c>
      <c r="I219" s="7">
        <v>49731</v>
      </c>
      <c r="J219" t="s">
        <v>23</v>
      </c>
      <c r="K219" s="12">
        <v>15000</v>
      </c>
      <c r="L219" t="s">
        <v>0</v>
      </c>
      <c r="M219" s="12">
        <v>262500</v>
      </c>
      <c r="N219" t="s">
        <v>1</v>
      </c>
      <c r="O219" s="12">
        <v>17.5</v>
      </c>
      <c r="P219" s="12">
        <v>51269.53</v>
      </c>
      <c r="Q219" s="12">
        <v>3.42</v>
      </c>
    </row>
    <row r="220" spans="1:17" x14ac:dyDescent="0.2">
      <c r="A220" t="s">
        <v>29</v>
      </c>
      <c r="B220" t="s">
        <v>30</v>
      </c>
      <c r="C220" s="5">
        <v>51056576.420000002</v>
      </c>
      <c r="D220" s="2">
        <v>44942</v>
      </c>
      <c r="E220" s="5">
        <f t="shared" si="6"/>
        <v>107218810.48200001</v>
      </c>
      <c r="F220" s="2">
        <v>44944</v>
      </c>
      <c r="G220" s="3" t="s">
        <v>433</v>
      </c>
      <c r="H220" t="s">
        <v>47</v>
      </c>
      <c r="I220" s="7">
        <v>49689</v>
      </c>
      <c r="J220" t="s">
        <v>20</v>
      </c>
      <c r="K220" s="12">
        <v>24000</v>
      </c>
      <c r="L220" t="s">
        <v>0</v>
      </c>
      <c r="M220" s="12">
        <v>360000</v>
      </c>
      <c r="N220" t="s">
        <v>1</v>
      </c>
      <c r="O220" s="12">
        <v>15</v>
      </c>
      <c r="P220" s="12">
        <v>70312.5</v>
      </c>
      <c r="Q220" s="12">
        <v>2.93</v>
      </c>
    </row>
    <row r="221" spans="1:17" x14ac:dyDescent="0.2">
      <c r="A221" t="s">
        <v>29</v>
      </c>
      <c r="B221" t="s">
        <v>30</v>
      </c>
      <c r="C221" s="5">
        <v>51056576.439999998</v>
      </c>
      <c r="D221" s="2">
        <v>44943</v>
      </c>
      <c r="E221" s="5">
        <f t="shared" si="6"/>
        <v>107218810.524</v>
      </c>
      <c r="F221" s="2">
        <v>44944</v>
      </c>
      <c r="G221" s="3" t="s">
        <v>430</v>
      </c>
      <c r="H221" t="s">
        <v>135</v>
      </c>
      <c r="I221" s="7">
        <v>49689</v>
      </c>
      <c r="J221" t="s">
        <v>20</v>
      </c>
      <c r="K221" s="12">
        <v>19200</v>
      </c>
      <c r="L221" t="s">
        <v>0</v>
      </c>
      <c r="M221" s="12">
        <v>320038.39</v>
      </c>
      <c r="N221" t="s">
        <v>1</v>
      </c>
      <c r="O221" s="12">
        <v>16.670000000000002</v>
      </c>
      <c r="P221" s="12">
        <v>62507.5</v>
      </c>
      <c r="Q221" s="12">
        <v>3.26</v>
      </c>
    </row>
    <row r="222" spans="1:17" x14ac:dyDescent="0.2">
      <c r="A222" t="s">
        <v>29</v>
      </c>
      <c r="B222" t="s">
        <v>30</v>
      </c>
      <c r="C222" s="5">
        <v>51056576.490000002</v>
      </c>
      <c r="D222" s="2">
        <v>44936</v>
      </c>
      <c r="E222" s="5">
        <f t="shared" si="6"/>
        <v>107218810.62900001</v>
      </c>
      <c r="F222" s="2">
        <v>44944</v>
      </c>
      <c r="G222" s="3" t="s">
        <v>326</v>
      </c>
      <c r="H222" t="s">
        <v>36</v>
      </c>
      <c r="I222" s="7">
        <v>35333</v>
      </c>
      <c r="J222" t="s">
        <v>22</v>
      </c>
      <c r="K222" s="12">
        <v>2.5</v>
      </c>
      <c r="L222" t="s">
        <v>2</v>
      </c>
      <c r="M222" s="12">
        <v>36285.94</v>
      </c>
      <c r="N222" t="s">
        <v>1</v>
      </c>
      <c r="O222" s="12">
        <v>14514.38</v>
      </c>
      <c r="P222" s="12">
        <v>7087.1</v>
      </c>
      <c r="Q222" s="12">
        <v>2834.84</v>
      </c>
    </row>
    <row r="223" spans="1:17" x14ac:dyDescent="0.2">
      <c r="A223" t="s">
        <v>29</v>
      </c>
      <c r="B223" t="s">
        <v>30</v>
      </c>
      <c r="C223" s="5">
        <v>51056576.530000001</v>
      </c>
      <c r="D223" s="2">
        <v>44943</v>
      </c>
      <c r="E223" s="5">
        <f t="shared" si="6"/>
        <v>107218810.71300001</v>
      </c>
      <c r="F223" s="2">
        <v>44944</v>
      </c>
      <c r="G223" s="3" t="s">
        <v>434</v>
      </c>
      <c r="H223" t="s">
        <v>138</v>
      </c>
      <c r="I223" s="7">
        <v>49689</v>
      </c>
      <c r="J223" t="s">
        <v>20</v>
      </c>
      <c r="K223" s="12">
        <v>2340</v>
      </c>
      <c r="L223" t="s">
        <v>0</v>
      </c>
      <c r="M223" s="12">
        <v>38801.879999999997</v>
      </c>
      <c r="N223" t="s">
        <v>1</v>
      </c>
      <c r="O223" s="12">
        <v>16.579999999999998</v>
      </c>
      <c r="P223" s="12">
        <v>7578.49</v>
      </c>
      <c r="Q223" s="12">
        <v>3.24</v>
      </c>
    </row>
    <row r="224" spans="1:17" x14ac:dyDescent="0.2">
      <c r="A224" t="s">
        <v>29</v>
      </c>
      <c r="B224" t="s">
        <v>30</v>
      </c>
      <c r="C224" s="5">
        <v>51056577.579999998</v>
      </c>
      <c r="D224" s="2">
        <v>44943</v>
      </c>
      <c r="E224" s="5">
        <f t="shared" si="6"/>
        <v>107218812.918</v>
      </c>
      <c r="F224" s="2">
        <v>44944</v>
      </c>
      <c r="G224" s="3" t="s">
        <v>435</v>
      </c>
      <c r="H224" t="s">
        <v>139</v>
      </c>
      <c r="I224" s="7">
        <v>49689</v>
      </c>
      <c r="J224" t="s">
        <v>20</v>
      </c>
      <c r="K224" s="12">
        <v>2204</v>
      </c>
      <c r="L224" t="s">
        <v>0</v>
      </c>
      <c r="M224" s="12">
        <v>35096.050000000003</v>
      </c>
      <c r="N224" t="s">
        <v>1</v>
      </c>
      <c r="O224" s="12">
        <v>15.92</v>
      </c>
      <c r="P224" s="12">
        <v>6854.7</v>
      </c>
      <c r="Q224" s="12">
        <v>3.11</v>
      </c>
    </row>
    <row r="225" spans="1:17" x14ac:dyDescent="0.2">
      <c r="A225" t="s">
        <v>29</v>
      </c>
      <c r="B225" t="s">
        <v>30</v>
      </c>
      <c r="C225" s="5">
        <v>51056577.600000001</v>
      </c>
      <c r="D225" s="2">
        <v>44943</v>
      </c>
      <c r="E225" s="5">
        <f t="shared" si="6"/>
        <v>107218812.96000001</v>
      </c>
      <c r="F225" s="2">
        <v>44944</v>
      </c>
      <c r="G225" s="3" t="s">
        <v>436</v>
      </c>
      <c r="H225" t="s">
        <v>140</v>
      </c>
      <c r="I225" s="7">
        <v>49689</v>
      </c>
      <c r="J225" t="s">
        <v>20</v>
      </c>
      <c r="K225" s="12">
        <v>2196</v>
      </c>
      <c r="L225" t="s">
        <v>0</v>
      </c>
      <c r="M225" s="12">
        <v>34968.660000000003</v>
      </c>
      <c r="N225" t="s">
        <v>1</v>
      </c>
      <c r="O225" s="12">
        <v>15.92</v>
      </c>
      <c r="P225" s="12">
        <v>6829.82</v>
      </c>
      <c r="Q225" s="12">
        <v>3.11</v>
      </c>
    </row>
    <row r="226" spans="1:17" x14ac:dyDescent="0.2">
      <c r="A226" t="s">
        <v>29</v>
      </c>
      <c r="B226" t="s">
        <v>30</v>
      </c>
      <c r="C226" s="5">
        <v>51056577.609999999</v>
      </c>
      <c r="D226" s="2">
        <v>44944</v>
      </c>
      <c r="E226" s="5">
        <f t="shared" si="6"/>
        <v>107218812.98100001</v>
      </c>
      <c r="F226" s="2">
        <v>44944</v>
      </c>
      <c r="G226" s="3" t="s">
        <v>363</v>
      </c>
      <c r="H226" t="s">
        <v>72</v>
      </c>
      <c r="I226" s="7">
        <v>35334</v>
      </c>
      <c r="J226" t="s">
        <v>24</v>
      </c>
      <c r="K226" s="12">
        <v>6</v>
      </c>
      <c r="L226" t="s">
        <v>2</v>
      </c>
      <c r="M226" s="12">
        <v>87086.25</v>
      </c>
      <c r="N226" t="s">
        <v>1</v>
      </c>
      <c r="O226" s="12">
        <v>14514.38</v>
      </c>
      <c r="P226" s="12">
        <v>11339.91</v>
      </c>
      <c r="Q226" s="12">
        <v>1889.99</v>
      </c>
    </row>
    <row r="227" spans="1:17" x14ac:dyDescent="0.2">
      <c r="A227" t="s">
        <v>29</v>
      </c>
      <c r="B227" t="s">
        <v>30</v>
      </c>
      <c r="C227" s="5">
        <v>51056577.660000004</v>
      </c>
      <c r="D227" s="2">
        <v>44944</v>
      </c>
      <c r="E227" s="5">
        <f t="shared" si="6"/>
        <v>107218813.08600001</v>
      </c>
      <c r="F227" s="2">
        <v>44944</v>
      </c>
      <c r="G227" s="3" t="s">
        <v>369</v>
      </c>
      <c r="H227" t="s">
        <v>78</v>
      </c>
      <c r="I227" s="7">
        <v>35334</v>
      </c>
      <c r="J227" t="s">
        <v>24</v>
      </c>
      <c r="K227" s="12">
        <v>15</v>
      </c>
      <c r="L227" t="s">
        <v>2</v>
      </c>
      <c r="M227" s="12">
        <v>208039.38</v>
      </c>
      <c r="N227" t="s">
        <v>1</v>
      </c>
      <c r="O227" s="12">
        <v>13869.29</v>
      </c>
      <c r="P227" s="12">
        <v>28517.1</v>
      </c>
      <c r="Q227" s="12">
        <v>1901.14</v>
      </c>
    </row>
    <row r="228" spans="1:17" x14ac:dyDescent="0.2">
      <c r="A228" t="s">
        <v>29</v>
      </c>
      <c r="B228" t="s">
        <v>30</v>
      </c>
      <c r="C228" s="5">
        <v>51056577.68</v>
      </c>
      <c r="D228" s="2">
        <v>44919</v>
      </c>
      <c r="E228" s="5">
        <f t="shared" si="6"/>
        <v>107218813.12800001</v>
      </c>
      <c r="F228" s="2">
        <v>44944</v>
      </c>
      <c r="G228" s="3" t="s">
        <v>340</v>
      </c>
      <c r="H228" t="s">
        <v>50</v>
      </c>
      <c r="I228" s="7">
        <v>35334</v>
      </c>
      <c r="J228" t="s">
        <v>24</v>
      </c>
      <c r="K228" s="12">
        <v>15</v>
      </c>
      <c r="L228" t="s">
        <v>2</v>
      </c>
      <c r="M228" s="12">
        <v>221489.36</v>
      </c>
      <c r="N228" t="s">
        <v>1</v>
      </c>
      <c r="O228" s="12">
        <v>14765.96</v>
      </c>
      <c r="P228" s="12">
        <v>43333.46</v>
      </c>
      <c r="Q228" s="12">
        <v>2888.9</v>
      </c>
    </row>
    <row r="229" spans="1:17" x14ac:dyDescent="0.2">
      <c r="A229" t="s">
        <v>29</v>
      </c>
      <c r="B229" t="s">
        <v>30</v>
      </c>
      <c r="C229" s="5">
        <v>51056581.520000003</v>
      </c>
      <c r="D229" s="2">
        <v>44944</v>
      </c>
      <c r="E229" s="5">
        <f t="shared" si="6"/>
        <v>107218821.19200002</v>
      </c>
      <c r="F229" s="2">
        <v>44944</v>
      </c>
      <c r="G229" s="3" t="s">
        <v>412</v>
      </c>
      <c r="H229" t="s">
        <v>117</v>
      </c>
      <c r="I229" s="7">
        <v>35333</v>
      </c>
      <c r="J229" t="s">
        <v>22</v>
      </c>
      <c r="K229" s="12">
        <v>4.2039999999999997</v>
      </c>
      <c r="L229" t="s">
        <v>2</v>
      </c>
      <c r="M229" s="12">
        <v>40680.93</v>
      </c>
      <c r="N229" t="s">
        <v>1</v>
      </c>
      <c r="O229" s="12">
        <v>9676.7199999999993</v>
      </c>
      <c r="P229" s="12">
        <v>7945.49</v>
      </c>
      <c r="Q229" s="12">
        <v>1889.98</v>
      </c>
    </row>
    <row r="230" spans="1:17" x14ac:dyDescent="0.2">
      <c r="A230" t="s">
        <v>29</v>
      </c>
      <c r="B230" t="s">
        <v>30</v>
      </c>
      <c r="C230" s="5">
        <v>51056582.670000002</v>
      </c>
      <c r="D230" s="2">
        <v>44943</v>
      </c>
      <c r="E230" s="5">
        <f t="shared" si="6"/>
        <v>107218823.60700001</v>
      </c>
      <c r="F230" s="2">
        <v>44944</v>
      </c>
      <c r="G230" s="3" t="s">
        <v>437</v>
      </c>
      <c r="H230" t="s">
        <v>141</v>
      </c>
      <c r="I230" s="7">
        <v>49689</v>
      </c>
      <c r="J230" t="s">
        <v>20</v>
      </c>
      <c r="K230" s="12">
        <v>3005</v>
      </c>
      <c r="L230" t="s">
        <v>0</v>
      </c>
      <c r="M230" s="12">
        <v>51862.69</v>
      </c>
      <c r="N230" t="s">
        <v>1</v>
      </c>
      <c r="O230" s="12">
        <v>17.260000000000002</v>
      </c>
      <c r="P230" s="12">
        <v>10129.43</v>
      </c>
      <c r="Q230" s="12">
        <v>3.37</v>
      </c>
    </row>
    <row r="231" spans="1:17" x14ac:dyDescent="0.2">
      <c r="A231" t="s">
        <v>29</v>
      </c>
      <c r="B231" t="s">
        <v>30</v>
      </c>
      <c r="C231" s="5">
        <v>51056583.18</v>
      </c>
      <c r="D231" s="2">
        <v>44943</v>
      </c>
      <c r="E231" s="5">
        <f t="shared" si="6"/>
        <v>107218824.678</v>
      </c>
      <c r="F231" s="2">
        <v>44944</v>
      </c>
      <c r="G231" s="3" t="s">
        <v>421</v>
      </c>
      <c r="H231" t="s">
        <v>126</v>
      </c>
      <c r="I231" s="7">
        <v>49689</v>
      </c>
      <c r="J231" t="s">
        <v>20</v>
      </c>
      <c r="K231" s="12">
        <v>3005</v>
      </c>
      <c r="L231" t="s">
        <v>0</v>
      </c>
      <c r="M231" s="12">
        <v>51862.69</v>
      </c>
      <c r="N231" t="s">
        <v>1</v>
      </c>
      <c r="O231" s="12">
        <v>17.260000000000002</v>
      </c>
      <c r="P231" s="12">
        <v>10129.43</v>
      </c>
      <c r="Q231" s="12">
        <v>3.37</v>
      </c>
    </row>
    <row r="232" spans="1:17" x14ac:dyDescent="0.2">
      <c r="A232" t="s">
        <v>29</v>
      </c>
      <c r="B232" t="s">
        <v>30</v>
      </c>
      <c r="C232" s="5">
        <v>51056585.700000003</v>
      </c>
      <c r="D232" s="2">
        <v>44943</v>
      </c>
      <c r="E232" s="5">
        <f t="shared" si="6"/>
        <v>107218829.97000001</v>
      </c>
      <c r="F232" s="2">
        <v>44944</v>
      </c>
      <c r="G232" s="3" t="s">
        <v>438</v>
      </c>
      <c r="H232" t="s">
        <v>142</v>
      </c>
      <c r="I232" s="7">
        <v>49689</v>
      </c>
      <c r="J232" t="s">
        <v>20</v>
      </c>
      <c r="K232" s="12">
        <v>7200</v>
      </c>
      <c r="L232" t="s">
        <v>0</v>
      </c>
      <c r="M232" s="12">
        <v>114000.48</v>
      </c>
      <c r="N232" t="s">
        <v>1</v>
      </c>
      <c r="O232" s="12">
        <v>15.83</v>
      </c>
      <c r="P232" s="12">
        <v>22265.72</v>
      </c>
      <c r="Q232" s="12">
        <v>3.09</v>
      </c>
    </row>
    <row r="233" spans="1:17" x14ac:dyDescent="0.2">
      <c r="A233" t="s">
        <v>29</v>
      </c>
      <c r="B233" t="s">
        <v>30</v>
      </c>
      <c r="C233" s="5">
        <v>51056586.189999998</v>
      </c>
      <c r="D233" s="2">
        <v>44943</v>
      </c>
      <c r="E233" s="5">
        <f t="shared" si="6"/>
        <v>107218830.999</v>
      </c>
      <c r="F233" s="2">
        <v>44944</v>
      </c>
      <c r="G233" s="3" t="s">
        <v>423</v>
      </c>
      <c r="H233" t="s">
        <v>128</v>
      </c>
      <c r="I233" s="7">
        <v>49689</v>
      </c>
      <c r="J233" t="s">
        <v>20</v>
      </c>
      <c r="K233" s="12">
        <v>21000</v>
      </c>
      <c r="L233" t="s">
        <v>0</v>
      </c>
      <c r="M233" s="12">
        <v>311500</v>
      </c>
      <c r="N233" t="s">
        <v>1</v>
      </c>
      <c r="O233" s="12">
        <v>14.83</v>
      </c>
      <c r="P233" s="12">
        <v>60839.65</v>
      </c>
      <c r="Q233" s="12">
        <v>2.9</v>
      </c>
    </row>
    <row r="234" spans="1:17" x14ac:dyDescent="0.2">
      <c r="A234" t="s">
        <v>29</v>
      </c>
      <c r="B234" t="s">
        <v>30</v>
      </c>
      <c r="C234" s="5">
        <v>51056586.43</v>
      </c>
      <c r="D234" s="2">
        <v>44943</v>
      </c>
      <c r="E234" s="5">
        <f t="shared" si="6"/>
        <v>107218831.50300001</v>
      </c>
      <c r="F234" s="2">
        <v>44944</v>
      </c>
      <c r="G234" s="3" t="s">
        <v>423</v>
      </c>
      <c r="H234" t="s">
        <v>128</v>
      </c>
      <c r="I234" s="7">
        <v>49689</v>
      </c>
      <c r="J234" t="s">
        <v>20</v>
      </c>
      <c r="K234" s="12">
        <v>18000</v>
      </c>
      <c r="L234" t="s">
        <v>0</v>
      </c>
      <c r="M234" s="12">
        <v>267000</v>
      </c>
      <c r="N234" t="s">
        <v>1</v>
      </c>
      <c r="O234" s="12">
        <v>14.83</v>
      </c>
      <c r="P234" s="12">
        <v>52148.44</v>
      </c>
      <c r="Q234" s="12">
        <v>2.9</v>
      </c>
    </row>
    <row r="235" spans="1:17" x14ac:dyDescent="0.2">
      <c r="A235" t="s">
        <v>29</v>
      </c>
      <c r="B235" t="s">
        <v>30</v>
      </c>
      <c r="C235" s="5">
        <v>51056586.539999999</v>
      </c>
      <c r="D235" s="2">
        <v>44942</v>
      </c>
      <c r="E235" s="5">
        <f t="shared" ref="E235:E298" si="7">C235*2.1</f>
        <v>107218831.734</v>
      </c>
      <c r="F235" s="2">
        <v>44944</v>
      </c>
      <c r="G235" s="3" t="s">
        <v>439</v>
      </c>
      <c r="H235" t="s">
        <v>143</v>
      </c>
      <c r="I235" s="7">
        <v>49738</v>
      </c>
      <c r="J235" t="s">
        <v>21</v>
      </c>
      <c r="K235" s="12">
        <v>9000</v>
      </c>
      <c r="L235" t="s">
        <v>0</v>
      </c>
      <c r="M235" s="12">
        <v>98985</v>
      </c>
      <c r="N235" t="s">
        <v>1</v>
      </c>
      <c r="O235" s="12">
        <v>11</v>
      </c>
      <c r="P235" s="12">
        <v>19333.009999999998</v>
      </c>
      <c r="Q235" s="12">
        <v>2.15</v>
      </c>
    </row>
    <row r="236" spans="1:17" x14ac:dyDescent="0.2">
      <c r="A236" t="s">
        <v>29</v>
      </c>
      <c r="B236" t="s">
        <v>30</v>
      </c>
      <c r="C236" s="5">
        <v>51056587.109999999</v>
      </c>
      <c r="D236" s="2">
        <v>44943</v>
      </c>
      <c r="E236" s="5">
        <f t="shared" si="7"/>
        <v>107218832.93100001</v>
      </c>
      <c r="F236" s="2">
        <v>44944</v>
      </c>
      <c r="G236" s="3" t="s">
        <v>440</v>
      </c>
      <c r="H236" t="s">
        <v>144</v>
      </c>
      <c r="I236" s="7">
        <v>49732</v>
      </c>
      <c r="J236" t="s">
        <v>27</v>
      </c>
      <c r="K236" s="12">
        <v>26400</v>
      </c>
      <c r="L236" t="s">
        <v>0</v>
      </c>
      <c r="M236" s="12">
        <v>440000</v>
      </c>
      <c r="N236" t="s">
        <v>1</v>
      </c>
      <c r="O236" s="12">
        <v>16.670000000000002</v>
      </c>
      <c r="P236" s="12">
        <v>85954.67</v>
      </c>
      <c r="Q236" s="12">
        <v>3.26</v>
      </c>
    </row>
    <row r="237" spans="1:17" x14ac:dyDescent="0.2">
      <c r="A237" t="s">
        <v>29</v>
      </c>
      <c r="B237" t="s">
        <v>30</v>
      </c>
      <c r="C237" s="5">
        <v>51056587.160000004</v>
      </c>
      <c r="D237" s="2">
        <v>44943</v>
      </c>
      <c r="E237" s="5">
        <f t="shared" si="7"/>
        <v>107218833.03600001</v>
      </c>
      <c r="F237" s="2">
        <v>44944</v>
      </c>
      <c r="G237" s="3" t="s">
        <v>440</v>
      </c>
      <c r="H237" t="s">
        <v>144</v>
      </c>
      <c r="I237" s="7">
        <v>49732</v>
      </c>
      <c r="J237" t="s">
        <v>27</v>
      </c>
      <c r="K237" s="12">
        <v>26220</v>
      </c>
      <c r="L237" t="s">
        <v>0</v>
      </c>
      <c r="M237" s="12">
        <v>445740</v>
      </c>
      <c r="N237" t="s">
        <v>1</v>
      </c>
      <c r="O237" s="12">
        <v>17</v>
      </c>
      <c r="P237" s="12">
        <v>87058.59</v>
      </c>
      <c r="Q237" s="12">
        <v>3.32</v>
      </c>
    </row>
    <row r="238" spans="1:17" x14ac:dyDescent="0.2">
      <c r="A238" t="s">
        <v>29</v>
      </c>
      <c r="B238" t="s">
        <v>30</v>
      </c>
      <c r="C238" s="5">
        <v>51056587.200000003</v>
      </c>
      <c r="D238" s="2">
        <v>44943</v>
      </c>
      <c r="E238" s="5">
        <f t="shared" si="7"/>
        <v>107218833.12</v>
      </c>
      <c r="F238" s="2">
        <v>44944</v>
      </c>
      <c r="G238" s="3" t="s">
        <v>440</v>
      </c>
      <c r="H238" t="s">
        <v>144</v>
      </c>
      <c r="I238" s="7">
        <v>49732</v>
      </c>
      <c r="J238" t="s">
        <v>27</v>
      </c>
      <c r="K238" s="12">
        <v>27060</v>
      </c>
      <c r="L238" t="s">
        <v>0</v>
      </c>
      <c r="M238" s="12">
        <v>460020</v>
      </c>
      <c r="N238" t="s">
        <v>1</v>
      </c>
      <c r="O238" s="12">
        <v>17</v>
      </c>
      <c r="P238" s="12">
        <v>89847.66</v>
      </c>
      <c r="Q238" s="12">
        <v>3.32</v>
      </c>
    </row>
    <row r="239" spans="1:17" x14ac:dyDescent="0.2">
      <c r="A239" t="s">
        <v>29</v>
      </c>
      <c r="B239" t="s">
        <v>30</v>
      </c>
      <c r="C239" s="5">
        <v>51056588.530000001</v>
      </c>
      <c r="D239" s="2">
        <v>44943</v>
      </c>
      <c r="E239" s="5">
        <f t="shared" si="7"/>
        <v>107218835.913</v>
      </c>
      <c r="F239" s="2">
        <v>44944</v>
      </c>
      <c r="G239" s="3" t="s">
        <v>440</v>
      </c>
      <c r="H239" t="s">
        <v>144</v>
      </c>
      <c r="I239" s="7">
        <v>49732</v>
      </c>
      <c r="J239" t="s">
        <v>27</v>
      </c>
      <c r="K239" s="12">
        <v>25920</v>
      </c>
      <c r="L239" t="s">
        <v>0</v>
      </c>
      <c r="M239" s="12">
        <v>440640</v>
      </c>
      <c r="N239" t="s">
        <v>1</v>
      </c>
      <c r="O239" s="12">
        <v>17</v>
      </c>
      <c r="P239" s="12">
        <v>86062.5</v>
      </c>
      <c r="Q239" s="12">
        <v>3.32</v>
      </c>
    </row>
    <row r="240" spans="1:17" x14ac:dyDescent="0.2">
      <c r="A240" t="s">
        <v>29</v>
      </c>
      <c r="B240" t="s">
        <v>30</v>
      </c>
      <c r="C240" s="5">
        <v>51056588.600000001</v>
      </c>
      <c r="D240" s="2">
        <v>44943</v>
      </c>
      <c r="E240" s="5">
        <f t="shared" si="7"/>
        <v>107218836.06</v>
      </c>
      <c r="F240" s="2">
        <v>44944</v>
      </c>
      <c r="G240" s="3" t="s">
        <v>420</v>
      </c>
      <c r="H240" t="s">
        <v>125</v>
      </c>
      <c r="I240" s="7">
        <v>49689</v>
      </c>
      <c r="J240" t="s">
        <v>20</v>
      </c>
      <c r="K240" s="12">
        <v>12000</v>
      </c>
      <c r="L240" t="s">
        <v>0</v>
      </c>
      <c r="M240" s="12">
        <v>166900</v>
      </c>
      <c r="N240" t="s">
        <v>1</v>
      </c>
      <c r="O240" s="12">
        <v>13.91</v>
      </c>
      <c r="P240" s="12">
        <v>32597.66</v>
      </c>
      <c r="Q240" s="12">
        <v>2.72</v>
      </c>
    </row>
    <row r="241" spans="1:17" x14ac:dyDescent="0.2">
      <c r="A241" t="s">
        <v>29</v>
      </c>
      <c r="B241" t="s">
        <v>30</v>
      </c>
      <c r="C241" s="5">
        <v>51056588.920000002</v>
      </c>
      <c r="D241" s="2">
        <v>44936</v>
      </c>
      <c r="E241" s="5">
        <f t="shared" si="7"/>
        <v>107218836.73200001</v>
      </c>
      <c r="F241" s="2">
        <v>44944</v>
      </c>
      <c r="G241" s="3" t="s">
        <v>326</v>
      </c>
      <c r="H241" t="s">
        <v>36</v>
      </c>
      <c r="I241" s="7">
        <v>35333</v>
      </c>
      <c r="J241" t="s">
        <v>22</v>
      </c>
      <c r="K241" s="12">
        <v>3.1139999999999999</v>
      </c>
      <c r="L241" t="s">
        <v>2</v>
      </c>
      <c r="M241" s="12">
        <v>45197.77</v>
      </c>
      <c r="N241" t="s">
        <v>1</v>
      </c>
      <c r="O241" s="12">
        <v>14514.38</v>
      </c>
      <c r="P241" s="12">
        <v>8827.69</v>
      </c>
      <c r="Q241" s="12">
        <v>2834.84</v>
      </c>
    </row>
    <row r="242" spans="1:17" x14ac:dyDescent="0.2">
      <c r="A242" t="s">
        <v>29</v>
      </c>
      <c r="B242" t="s">
        <v>30</v>
      </c>
      <c r="C242" s="5">
        <v>51056591.140000001</v>
      </c>
      <c r="D242" s="2">
        <v>44939</v>
      </c>
      <c r="E242" s="5">
        <f t="shared" si="7"/>
        <v>107218841.39400001</v>
      </c>
      <c r="F242" s="2">
        <v>44944</v>
      </c>
      <c r="G242" s="3" t="s">
        <v>345</v>
      </c>
      <c r="H242" t="s">
        <v>55</v>
      </c>
      <c r="I242" s="7">
        <v>49689</v>
      </c>
      <c r="J242" t="s">
        <v>20</v>
      </c>
      <c r="K242" s="12">
        <v>2640</v>
      </c>
      <c r="L242" t="s">
        <v>0</v>
      </c>
      <c r="M242" s="12">
        <v>34574.76</v>
      </c>
      <c r="N242" t="s">
        <v>1</v>
      </c>
      <c r="O242" s="12">
        <v>13.1</v>
      </c>
      <c r="P242" s="12">
        <v>6752.88</v>
      </c>
      <c r="Q242" s="12">
        <v>2.56</v>
      </c>
    </row>
    <row r="243" spans="1:17" x14ac:dyDescent="0.2">
      <c r="A243" t="s">
        <v>29</v>
      </c>
      <c r="B243" t="s">
        <v>30</v>
      </c>
      <c r="C243" s="5">
        <v>51056591.189999998</v>
      </c>
      <c r="D243" s="2">
        <v>44943</v>
      </c>
      <c r="E243" s="5">
        <f t="shared" si="7"/>
        <v>107218841.499</v>
      </c>
      <c r="F243" s="2">
        <v>44944</v>
      </c>
      <c r="G243" s="3" t="s">
        <v>441</v>
      </c>
      <c r="H243" t="s">
        <v>145</v>
      </c>
      <c r="I243" s="7">
        <v>49732</v>
      </c>
      <c r="J243" t="s">
        <v>27</v>
      </c>
      <c r="K243" s="12">
        <v>31800</v>
      </c>
      <c r="L243" t="s">
        <v>0</v>
      </c>
      <c r="M243" s="12">
        <v>540600</v>
      </c>
      <c r="N243" t="s">
        <v>1</v>
      </c>
      <c r="O243" s="12">
        <v>17</v>
      </c>
      <c r="P243" s="12">
        <v>105585.94</v>
      </c>
      <c r="Q243" s="12">
        <v>3.32</v>
      </c>
    </row>
    <row r="244" spans="1:17" x14ac:dyDescent="0.2">
      <c r="A244" t="s">
        <v>29</v>
      </c>
      <c r="B244" t="s">
        <v>30</v>
      </c>
      <c r="C244" s="5">
        <v>51056591.450000003</v>
      </c>
      <c r="D244" s="2">
        <v>44943</v>
      </c>
      <c r="E244" s="5">
        <f t="shared" si="7"/>
        <v>107218842.04500002</v>
      </c>
      <c r="F244" s="2">
        <v>44944</v>
      </c>
      <c r="G244" s="3" t="s">
        <v>442</v>
      </c>
      <c r="H244" t="s">
        <v>146</v>
      </c>
      <c r="I244" s="7">
        <v>49689</v>
      </c>
      <c r="J244" t="s">
        <v>20</v>
      </c>
      <c r="K244" s="12">
        <v>6000</v>
      </c>
      <c r="L244" t="s">
        <v>0</v>
      </c>
      <c r="M244" s="12">
        <v>100519.2</v>
      </c>
      <c r="N244" t="s">
        <v>1</v>
      </c>
      <c r="O244" s="12">
        <v>16.75</v>
      </c>
      <c r="P244" s="12">
        <v>19632.66</v>
      </c>
      <c r="Q244" s="12">
        <v>3.27</v>
      </c>
    </row>
    <row r="245" spans="1:17" x14ac:dyDescent="0.2">
      <c r="A245" t="s">
        <v>29</v>
      </c>
      <c r="B245" t="s">
        <v>30</v>
      </c>
      <c r="C245" s="5">
        <v>51056591.5</v>
      </c>
      <c r="D245" s="2">
        <v>44942</v>
      </c>
      <c r="E245" s="5">
        <f t="shared" si="7"/>
        <v>107218842.15000001</v>
      </c>
      <c r="F245" s="2">
        <v>44944</v>
      </c>
      <c r="G245" s="3" t="s">
        <v>443</v>
      </c>
      <c r="H245" t="s">
        <v>147</v>
      </c>
      <c r="I245" s="7">
        <v>49689</v>
      </c>
      <c r="J245" t="s">
        <v>20</v>
      </c>
      <c r="K245" s="12">
        <v>12360</v>
      </c>
      <c r="L245" t="s">
        <v>0</v>
      </c>
      <c r="M245" s="12">
        <v>169752.24</v>
      </c>
      <c r="N245" t="s">
        <v>1</v>
      </c>
      <c r="O245" s="12">
        <v>13.73</v>
      </c>
      <c r="P245" s="12">
        <v>33154.730000000003</v>
      </c>
      <c r="Q245" s="12">
        <v>2.68</v>
      </c>
    </row>
    <row r="246" spans="1:17" x14ac:dyDescent="0.2">
      <c r="A246" t="s">
        <v>29</v>
      </c>
      <c r="B246" t="s">
        <v>30</v>
      </c>
      <c r="C246" s="5">
        <v>51056591.630000003</v>
      </c>
      <c r="D246" s="2">
        <v>44943</v>
      </c>
      <c r="E246" s="5">
        <f t="shared" si="7"/>
        <v>107218842.42300001</v>
      </c>
      <c r="F246" s="2">
        <v>44944</v>
      </c>
      <c r="G246" s="3" t="s">
        <v>444</v>
      </c>
      <c r="H246" t="s">
        <v>148</v>
      </c>
      <c r="I246" s="7">
        <v>49689</v>
      </c>
      <c r="J246" t="s">
        <v>20</v>
      </c>
      <c r="K246" s="12">
        <v>7860</v>
      </c>
      <c r="L246" t="s">
        <v>0</v>
      </c>
      <c r="M246" s="12">
        <v>111091.93</v>
      </c>
      <c r="N246" t="s">
        <v>1</v>
      </c>
      <c r="O246" s="12">
        <v>14.13</v>
      </c>
      <c r="P246" s="12">
        <v>21697.64</v>
      </c>
      <c r="Q246" s="12">
        <v>2.76</v>
      </c>
    </row>
    <row r="247" spans="1:17" x14ac:dyDescent="0.2">
      <c r="A247" t="s">
        <v>29</v>
      </c>
      <c r="B247" t="s">
        <v>30</v>
      </c>
      <c r="C247" s="5">
        <v>51056591.670000002</v>
      </c>
      <c r="D247" s="2">
        <v>44943</v>
      </c>
      <c r="E247" s="5">
        <f t="shared" si="7"/>
        <v>107218842.50700001</v>
      </c>
      <c r="F247" s="2">
        <v>44944</v>
      </c>
      <c r="G247" s="3" t="s">
        <v>445</v>
      </c>
      <c r="H247" t="s">
        <v>149</v>
      </c>
      <c r="I247" s="7">
        <v>49689</v>
      </c>
      <c r="J247" t="s">
        <v>20</v>
      </c>
      <c r="K247" s="12">
        <v>48900</v>
      </c>
      <c r="L247" t="s">
        <v>0</v>
      </c>
      <c r="M247" s="12">
        <v>823192.38</v>
      </c>
      <c r="N247" t="s">
        <v>1</v>
      </c>
      <c r="O247" s="12">
        <v>16.829999999999998</v>
      </c>
      <c r="P247" s="12">
        <v>160779.76</v>
      </c>
      <c r="Q247" s="12">
        <v>3.29</v>
      </c>
    </row>
    <row r="248" spans="1:17" x14ac:dyDescent="0.2">
      <c r="A248" t="s">
        <v>29</v>
      </c>
      <c r="B248" t="s">
        <v>30</v>
      </c>
      <c r="C248" s="5">
        <v>51056593.039999999</v>
      </c>
      <c r="D248" s="2">
        <v>44943</v>
      </c>
      <c r="E248" s="5">
        <f t="shared" si="7"/>
        <v>107218845.384</v>
      </c>
      <c r="F248" s="2">
        <v>44944</v>
      </c>
      <c r="G248" s="3" t="s">
        <v>323</v>
      </c>
      <c r="H248" t="s">
        <v>33</v>
      </c>
      <c r="I248" s="7">
        <v>49689</v>
      </c>
      <c r="J248" t="s">
        <v>20</v>
      </c>
      <c r="K248" s="12">
        <v>3300</v>
      </c>
      <c r="L248" t="s">
        <v>0</v>
      </c>
      <c r="M248" s="12">
        <v>55000</v>
      </c>
      <c r="N248" t="s">
        <v>1</v>
      </c>
      <c r="O248" s="12">
        <v>16.670000000000002</v>
      </c>
      <c r="P248" s="12">
        <v>10742.19</v>
      </c>
      <c r="Q248" s="12">
        <v>3.26</v>
      </c>
    </row>
    <row r="249" spans="1:17" x14ac:dyDescent="0.2">
      <c r="A249" t="s">
        <v>29</v>
      </c>
      <c r="B249" t="s">
        <v>30</v>
      </c>
      <c r="C249" s="5">
        <v>51056593.050000004</v>
      </c>
      <c r="D249" s="2">
        <v>44944</v>
      </c>
      <c r="E249" s="5">
        <f t="shared" si="7"/>
        <v>107218845.40500002</v>
      </c>
      <c r="F249" s="2">
        <v>44944</v>
      </c>
      <c r="G249" s="3" t="s">
        <v>446</v>
      </c>
      <c r="H249" t="s">
        <v>150</v>
      </c>
      <c r="I249" s="7">
        <v>49689</v>
      </c>
      <c r="J249" t="s">
        <v>20</v>
      </c>
      <c r="K249" s="12">
        <v>6360</v>
      </c>
      <c r="L249" t="s">
        <v>0</v>
      </c>
      <c r="M249" s="12">
        <v>106000</v>
      </c>
      <c r="N249" t="s">
        <v>1</v>
      </c>
      <c r="O249" s="12">
        <v>16.670000000000002</v>
      </c>
      <c r="P249" s="12">
        <v>20703.13</v>
      </c>
      <c r="Q249" s="12">
        <v>3.26</v>
      </c>
    </row>
    <row r="250" spans="1:17" x14ac:dyDescent="0.2">
      <c r="A250" t="s">
        <v>29</v>
      </c>
      <c r="B250" t="s">
        <v>30</v>
      </c>
      <c r="C250" s="5">
        <v>51056593.090000004</v>
      </c>
      <c r="D250" s="2">
        <v>44943</v>
      </c>
      <c r="E250" s="5">
        <f t="shared" si="7"/>
        <v>107218845.48900001</v>
      </c>
      <c r="F250" s="2">
        <v>44944</v>
      </c>
      <c r="G250" s="3" t="s">
        <v>447</v>
      </c>
      <c r="H250" t="s">
        <v>151</v>
      </c>
      <c r="I250" s="7">
        <v>49689</v>
      </c>
      <c r="J250" t="s">
        <v>20</v>
      </c>
      <c r="K250" s="12">
        <v>2100</v>
      </c>
      <c r="L250" t="s">
        <v>0</v>
      </c>
      <c r="M250" s="12">
        <v>33768.629999999997</v>
      </c>
      <c r="N250" t="s">
        <v>1</v>
      </c>
      <c r="O250" s="12">
        <v>16.079999999999998</v>
      </c>
      <c r="P250" s="12">
        <v>6595.44</v>
      </c>
      <c r="Q250" s="12">
        <v>3.14</v>
      </c>
    </row>
    <row r="251" spans="1:17" x14ac:dyDescent="0.2">
      <c r="A251" t="s">
        <v>29</v>
      </c>
      <c r="B251" t="s">
        <v>30</v>
      </c>
      <c r="C251" s="5">
        <v>51056593.730000004</v>
      </c>
      <c r="D251" s="2">
        <v>44944</v>
      </c>
      <c r="E251" s="5">
        <f t="shared" si="7"/>
        <v>107218846.83300002</v>
      </c>
      <c r="F251" s="2">
        <v>44944</v>
      </c>
      <c r="G251" s="3" t="s">
        <v>448</v>
      </c>
      <c r="H251" t="s">
        <v>152</v>
      </c>
      <c r="I251" s="7">
        <v>49689</v>
      </c>
      <c r="J251" t="s">
        <v>20</v>
      </c>
      <c r="K251" s="12">
        <v>3540</v>
      </c>
      <c r="L251" t="s">
        <v>0</v>
      </c>
      <c r="M251" s="12">
        <v>51569.599999999999</v>
      </c>
      <c r="N251" t="s">
        <v>1</v>
      </c>
      <c r="O251" s="12">
        <v>14.57</v>
      </c>
      <c r="P251" s="12">
        <v>10072.19</v>
      </c>
      <c r="Q251" s="12">
        <v>2.85</v>
      </c>
    </row>
    <row r="252" spans="1:17" x14ac:dyDescent="0.2">
      <c r="A252" t="s">
        <v>29</v>
      </c>
      <c r="B252" t="s">
        <v>30</v>
      </c>
      <c r="C252" s="5">
        <v>51056594.140000001</v>
      </c>
      <c r="D252" s="2">
        <v>44943</v>
      </c>
      <c r="E252" s="5">
        <f t="shared" si="7"/>
        <v>107218847.69400001</v>
      </c>
      <c r="F252" s="2">
        <v>44944</v>
      </c>
      <c r="G252" s="3" t="s">
        <v>449</v>
      </c>
      <c r="H252" t="s">
        <v>153</v>
      </c>
      <c r="I252" s="7">
        <v>49689</v>
      </c>
      <c r="J252" t="s">
        <v>20</v>
      </c>
      <c r="K252" s="12">
        <v>48000</v>
      </c>
      <c r="L252" t="s">
        <v>0</v>
      </c>
      <c r="M252" s="12">
        <v>815433.6</v>
      </c>
      <c r="N252" t="s">
        <v>1</v>
      </c>
      <c r="O252" s="12">
        <v>16.989999999999998</v>
      </c>
      <c r="P252" s="12">
        <v>159264.38</v>
      </c>
      <c r="Q252" s="12">
        <v>3.32</v>
      </c>
    </row>
    <row r="253" spans="1:17" x14ac:dyDescent="0.2">
      <c r="A253" t="s">
        <v>29</v>
      </c>
      <c r="B253" t="s">
        <v>30</v>
      </c>
      <c r="C253" s="5">
        <v>51056594.160000004</v>
      </c>
      <c r="D253" s="2">
        <v>44943</v>
      </c>
      <c r="E253" s="5">
        <f t="shared" si="7"/>
        <v>107218847.73600002</v>
      </c>
      <c r="F253" s="2">
        <v>44944</v>
      </c>
      <c r="G253" s="3" t="s">
        <v>450</v>
      </c>
      <c r="H253" t="s">
        <v>154</v>
      </c>
      <c r="I253" s="7">
        <v>49689</v>
      </c>
      <c r="J253" t="s">
        <v>20</v>
      </c>
      <c r="K253" s="12">
        <v>10200</v>
      </c>
      <c r="L253" t="s">
        <v>0</v>
      </c>
      <c r="M253" s="12">
        <v>173279.64</v>
      </c>
      <c r="N253" t="s">
        <v>1</v>
      </c>
      <c r="O253" s="12">
        <v>16.989999999999998</v>
      </c>
      <c r="P253" s="12">
        <v>33843.68</v>
      </c>
      <c r="Q253" s="12">
        <v>3.32</v>
      </c>
    </row>
    <row r="254" spans="1:17" x14ac:dyDescent="0.2">
      <c r="A254" t="s">
        <v>29</v>
      </c>
      <c r="B254" t="s">
        <v>30</v>
      </c>
      <c r="C254" s="5">
        <v>51056594.189999998</v>
      </c>
      <c r="D254" s="2">
        <v>44944</v>
      </c>
      <c r="E254" s="5">
        <f t="shared" si="7"/>
        <v>107218847.79899999</v>
      </c>
      <c r="F254" s="2">
        <v>44944</v>
      </c>
      <c r="G254" s="3" t="s">
        <v>366</v>
      </c>
      <c r="H254" t="s">
        <v>75</v>
      </c>
      <c r="I254" s="7">
        <v>49738</v>
      </c>
      <c r="J254" t="s">
        <v>21</v>
      </c>
      <c r="K254" s="12">
        <v>12000</v>
      </c>
      <c r="L254" t="s">
        <v>0</v>
      </c>
      <c r="M254" s="12">
        <v>108314</v>
      </c>
      <c r="N254" t="s">
        <v>1</v>
      </c>
      <c r="O254" s="12">
        <v>9.0299999999999994</v>
      </c>
      <c r="P254" s="12">
        <v>21163.41</v>
      </c>
      <c r="Q254" s="12">
        <v>1.76</v>
      </c>
    </row>
    <row r="255" spans="1:17" x14ac:dyDescent="0.2">
      <c r="A255" t="s">
        <v>29</v>
      </c>
      <c r="B255" t="s">
        <v>30</v>
      </c>
      <c r="C255" s="5">
        <v>51056594.230000004</v>
      </c>
      <c r="D255" s="2">
        <v>44943</v>
      </c>
      <c r="E255" s="5">
        <f t="shared" si="7"/>
        <v>107218847.88300002</v>
      </c>
      <c r="F255" s="2">
        <v>44944</v>
      </c>
      <c r="G255" s="3" t="s">
        <v>451</v>
      </c>
      <c r="H255" t="s">
        <v>155</v>
      </c>
      <c r="I255" s="7">
        <v>49689</v>
      </c>
      <c r="J255" t="s">
        <v>20</v>
      </c>
      <c r="K255" s="12">
        <v>21000</v>
      </c>
      <c r="L255" t="s">
        <v>0</v>
      </c>
      <c r="M255" s="12">
        <v>356752.2</v>
      </c>
      <c r="N255" t="s">
        <v>1</v>
      </c>
      <c r="O255" s="12">
        <v>16.989999999999998</v>
      </c>
      <c r="P255" s="12">
        <v>69678.16</v>
      </c>
      <c r="Q255" s="12">
        <v>3.32</v>
      </c>
    </row>
    <row r="256" spans="1:17" x14ac:dyDescent="0.2">
      <c r="A256" t="s">
        <v>29</v>
      </c>
      <c r="B256" t="s">
        <v>30</v>
      </c>
      <c r="C256" s="5">
        <v>51056595.380000003</v>
      </c>
      <c r="D256" s="2">
        <v>44943</v>
      </c>
      <c r="E256" s="5">
        <f t="shared" si="7"/>
        <v>107218850.29800001</v>
      </c>
      <c r="F256" s="2">
        <v>44944</v>
      </c>
      <c r="G256" s="3" t="s">
        <v>452</v>
      </c>
      <c r="H256" t="s">
        <v>156</v>
      </c>
      <c r="I256" s="7">
        <v>49689</v>
      </c>
      <c r="J256" t="s">
        <v>20</v>
      </c>
      <c r="K256" s="12">
        <v>29340</v>
      </c>
      <c r="L256" t="s">
        <v>0</v>
      </c>
      <c r="M256" s="12">
        <v>498433.79</v>
      </c>
      <c r="N256" t="s">
        <v>1</v>
      </c>
      <c r="O256" s="12">
        <v>16.989999999999998</v>
      </c>
      <c r="P256" s="12">
        <v>97350.35</v>
      </c>
      <c r="Q256" s="12">
        <v>3.32</v>
      </c>
    </row>
    <row r="257" spans="1:17" x14ac:dyDescent="0.2">
      <c r="A257" t="s">
        <v>29</v>
      </c>
      <c r="B257" t="s">
        <v>30</v>
      </c>
      <c r="C257" s="5">
        <v>51056595.670000002</v>
      </c>
      <c r="D257" s="2">
        <v>44943</v>
      </c>
      <c r="E257" s="5">
        <f t="shared" si="7"/>
        <v>107218850.90700001</v>
      </c>
      <c r="F257" s="2">
        <v>44944</v>
      </c>
      <c r="G257" s="3" t="s">
        <v>402</v>
      </c>
      <c r="H257" t="s">
        <v>109</v>
      </c>
      <c r="I257" s="7">
        <v>49738</v>
      </c>
      <c r="J257" t="s">
        <v>21</v>
      </c>
      <c r="K257" s="12">
        <v>30000</v>
      </c>
      <c r="L257" t="s">
        <v>0</v>
      </c>
      <c r="M257" s="12">
        <v>322335</v>
      </c>
      <c r="N257" t="s">
        <v>1</v>
      </c>
      <c r="O257" s="12">
        <v>10.74</v>
      </c>
      <c r="P257" s="12">
        <v>62956.05</v>
      </c>
      <c r="Q257" s="12">
        <v>2.1</v>
      </c>
    </row>
    <row r="258" spans="1:17" x14ac:dyDescent="0.2">
      <c r="A258" t="s">
        <v>29</v>
      </c>
      <c r="B258" t="s">
        <v>30</v>
      </c>
      <c r="C258" s="5">
        <v>51056595.689999998</v>
      </c>
      <c r="D258" s="2">
        <v>44944</v>
      </c>
      <c r="E258" s="5">
        <f t="shared" si="7"/>
        <v>107218850.949</v>
      </c>
      <c r="F258" s="2">
        <v>44944</v>
      </c>
      <c r="G258" s="3" t="s">
        <v>453</v>
      </c>
      <c r="H258" t="s">
        <v>157</v>
      </c>
      <c r="I258" s="7">
        <v>49689</v>
      </c>
      <c r="J258" t="s">
        <v>20</v>
      </c>
      <c r="K258" s="12">
        <v>6490.1</v>
      </c>
      <c r="L258" t="s">
        <v>0</v>
      </c>
      <c r="M258" s="12">
        <v>104662.6</v>
      </c>
      <c r="N258" t="s">
        <v>1</v>
      </c>
      <c r="O258" s="12">
        <v>16.13</v>
      </c>
      <c r="P258" s="12">
        <v>20441.91</v>
      </c>
      <c r="Q258" s="12">
        <v>3.15</v>
      </c>
    </row>
    <row r="259" spans="1:17" x14ac:dyDescent="0.2">
      <c r="A259" t="s">
        <v>29</v>
      </c>
      <c r="B259" t="s">
        <v>30</v>
      </c>
      <c r="C259" s="5">
        <v>51056595.700000003</v>
      </c>
      <c r="D259" s="2">
        <v>44944</v>
      </c>
      <c r="E259" s="5">
        <f t="shared" si="7"/>
        <v>107218850.97000001</v>
      </c>
      <c r="F259" s="2">
        <v>44944</v>
      </c>
      <c r="G259" s="3" t="s">
        <v>454</v>
      </c>
      <c r="H259" t="s">
        <v>158</v>
      </c>
      <c r="I259" s="7">
        <v>49689</v>
      </c>
      <c r="J259" t="s">
        <v>20</v>
      </c>
      <c r="K259" s="12">
        <v>4791</v>
      </c>
      <c r="L259" t="s">
        <v>0</v>
      </c>
      <c r="M259" s="12">
        <v>82027.19</v>
      </c>
      <c r="N259" t="s">
        <v>1</v>
      </c>
      <c r="O259" s="12">
        <v>17.12</v>
      </c>
      <c r="P259" s="12">
        <v>16020.94</v>
      </c>
      <c r="Q259" s="12">
        <v>3.34</v>
      </c>
    </row>
    <row r="260" spans="1:17" x14ac:dyDescent="0.2">
      <c r="A260" t="s">
        <v>29</v>
      </c>
      <c r="B260" t="s">
        <v>30</v>
      </c>
      <c r="C260" s="5">
        <v>51056616.539999999</v>
      </c>
      <c r="D260" s="2">
        <v>44944</v>
      </c>
      <c r="E260" s="5">
        <f t="shared" si="7"/>
        <v>107218894.734</v>
      </c>
      <c r="F260" s="2">
        <v>44945</v>
      </c>
      <c r="G260" s="3" t="s">
        <v>455</v>
      </c>
      <c r="H260" t="s">
        <v>159</v>
      </c>
      <c r="I260" s="7">
        <v>49689</v>
      </c>
      <c r="J260" t="s">
        <v>20</v>
      </c>
      <c r="K260" s="12">
        <v>2448.4499999999998</v>
      </c>
      <c r="L260" t="s">
        <v>0</v>
      </c>
      <c r="M260" s="12">
        <v>39794.660000000003</v>
      </c>
      <c r="N260" t="s">
        <v>1</v>
      </c>
      <c r="O260" s="12">
        <v>16.25</v>
      </c>
      <c r="P260" s="12">
        <v>7817.28</v>
      </c>
      <c r="Q260" s="12">
        <v>3.19</v>
      </c>
    </row>
    <row r="261" spans="1:17" x14ac:dyDescent="0.2">
      <c r="A261" t="s">
        <v>29</v>
      </c>
      <c r="B261" t="s">
        <v>30</v>
      </c>
      <c r="C261" s="5">
        <v>51056616.600000001</v>
      </c>
      <c r="D261" s="2">
        <v>44944</v>
      </c>
      <c r="E261" s="5">
        <f t="shared" si="7"/>
        <v>107218894.86000001</v>
      </c>
      <c r="F261" s="2">
        <v>44945</v>
      </c>
      <c r="G261" s="3" t="s">
        <v>444</v>
      </c>
      <c r="H261" t="s">
        <v>148</v>
      </c>
      <c r="I261" s="7">
        <v>49689</v>
      </c>
      <c r="J261" t="s">
        <v>20</v>
      </c>
      <c r="K261" s="12">
        <v>12000</v>
      </c>
      <c r="L261" t="s">
        <v>0</v>
      </c>
      <c r="M261" s="12">
        <v>155712</v>
      </c>
      <c r="N261" t="s">
        <v>1</v>
      </c>
      <c r="O261" s="12">
        <v>12.98</v>
      </c>
      <c r="P261" s="12">
        <v>30588.14</v>
      </c>
      <c r="Q261" s="12">
        <v>2.5499999999999998</v>
      </c>
    </row>
    <row r="262" spans="1:17" x14ac:dyDescent="0.2">
      <c r="A262" t="s">
        <v>29</v>
      </c>
      <c r="B262" t="s">
        <v>30</v>
      </c>
      <c r="C262" s="5">
        <v>51056618.450000003</v>
      </c>
      <c r="D262" s="2">
        <v>44943</v>
      </c>
      <c r="E262" s="5">
        <f t="shared" si="7"/>
        <v>107218898.745</v>
      </c>
      <c r="F262" s="2">
        <v>44945</v>
      </c>
      <c r="G262" s="3" t="s">
        <v>456</v>
      </c>
      <c r="H262" t="s">
        <v>160</v>
      </c>
      <c r="I262" s="7">
        <v>49689</v>
      </c>
      <c r="J262" t="s">
        <v>20</v>
      </c>
      <c r="K262" s="12">
        <v>9180</v>
      </c>
      <c r="L262" t="s">
        <v>0</v>
      </c>
      <c r="M262" s="12">
        <v>154530</v>
      </c>
      <c r="N262" t="s">
        <v>1</v>
      </c>
      <c r="O262" s="12">
        <v>16.829999999999998</v>
      </c>
      <c r="P262" s="12">
        <v>30355.95</v>
      </c>
      <c r="Q262" s="12">
        <v>3.31</v>
      </c>
    </row>
    <row r="263" spans="1:17" x14ac:dyDescent="0.2">
      <c r="A263" t="s">
        <v>29</v>
      </c>
      <c r="B263" t="s">
        <v>30</v>
      </c>
      <c r="C263" s="5">
        <v>51056619.009999998</v>
      </c>
      <c r="D263" s="2">
        <v>44944</v>
      </c>
      <c r="E263" s="5">
        <f t="shared" si="7"/>
        <v>107218899.921</v>
      </c>
      <c r="F263" s="2">
        <v>44945</v>
      </c>
      <c r="G263" s="3" t="s">
        <v>457</v>
      </c>
      <c r="H263" t="s">
        <v>161</v>
      </c>
      <c r="I263" s="7">
        <v>49689</v>
      </c>
      <c r="J263" t="s">
        <v>20</v>
      </c>
      <c r="K263" s="12">
        <v>18300</v>
      </c>
      <c r="L263" t="s">
        <v>0</v>
      </c>
      <c r="M263" s="12">
        <v>258701</v>
      </c>
      <c r="N263" t="s">
        <v>1</v>
      </c>
      <c r="O263" s="12">
        <v>14.14</v>
      </c>
      <c r="P263" s="12">
        <v>50831.28</v>
      </c>
      <c r="Q263" s="12">
        <v>2.78</v>
      </c>
    </row>
    <row r="264" spans="1:17" x14ac:dyDescent="0.2">
      <c r="A264" t="s">
        <v>29</v>
      </c>
      <c r="B264" t="s">
        <v>30</v>
      </c>
      <c r="C264" s="5">
        <v>51056619.079999998</v>
      </c>
      <c r="D264" s="2">
        <v>44944</v>
      </c>
      <c r="E264" s="5">
        <f t="shared" si="7"/>
        <v>107218900.068</v>
      </c>
      <c r="F264" s="2">
        <v>44945</v>
      </c>
      <c r="G264" s="3" t="s">
        <v>354</v>
      </c>
      <c r="H264" t="s">
        <v>63</v>
      </c>
      <c r="I264" s="7">
        <v>49689</v>
      </c>
      <c r="J264" t="s">
        <v>20</v>
      </c>
      <c r="K264" s="12">
        <v>30000</v>
      </c>
      <c r="L264" t="s">
        <v>0</v>
      </c>
      <c r="M264" s="12">
        <v>512490</v>
      </c>
      <c r="N264" t="s">
        <v>1</v>
      </c>
      <c r="O264" s="12">
        <v>17.079999999999998</v>
      </c>
      <c r="P264" s="12">
        <v>100673.79</v>
      </c>
      <c r="Q264" s="12">
        <v>3.36</v>
      </c>
    </row>
    <row r="265" spans="1:17" x14ac:dyDescent="0.2">
      <c r="A265" t="s">
        <v>29</v>
      </c>
      <c r="B265" t="s">
        <v>30</v>
      </c>
      <c r="C265" s="5">
        <v>51056619.550000004</v>
      </c>
      <c r="D265" s="2">
        <v>44945</v>
      </c>
      <c r="E265" s="5">
        <f t="shared" si="7"/>
        <v>107218901.05500001</v>
      </c>
      <c r="F265" s="2">
        <v>44945</v>
      </c>
      <c r="G265" s="3" t="s">
        <v>397</v>
      </c>
      <c r="H265" t="s">
        <v>105</v>
      </c>
      <c r="I265" s="7">
        <v>35334</v>
      </c>
      <c r="J265" t="s">
        <v>24</v>
      </c>
      <c r="K265" s="12">
        <v>18</v>
      </c>
      <c r="L265" t="s">
        <v>2</v>
      </c>
      <c r="M265" s="12">
        <v>243841.5</v>
      </c>
      <c r="N265" t="s">
        <v>1</v>
      </c>
      <c r="O265" s="12">
        <v>13546.75</v>
      </c>
      <c r="P265" s="12">
        <v>34198.53</v>
      </c>
      <c r="Q265" s="12">
        <v>1899.92</v>
      </c>
    </row>
    <row r="266" spans="1:17" x14ac:dyDescent="0.2">
      <c r="A266" t="s">
        <v>29</v>
      </c>
      <c r="B266" t="s">
        <v>30</v>
      </c>
      <c r="C266" s="5">
        <v>51056619.560000002</v>
      </c>
      <c r="D266" s="2">
        <v>44919</v>
      </c>
      <c r="E266" s="5">
        <f t="shared" si="7"/>
        <v>107218901.07600001</v>
      </c>
      <c r="F266" s="2">
        <v>44945</v>
      </c>
      <c r="G266" s="3" t="s">
        <v>340</v>
      </c>
      <c r="H266" t="s">
        <v>50</v>
      </c>
      <c r="I266" s="7">
        <v>35334</v>
      </c>
      <c r="J266" t="s">
        <v>24</v>
      </c>
      <c r="K266" s="12">
        <v>15</v>
      </c>
      <c r="L266" t="s">
        <v>2</v>
      </c>
      <c r="M266" s="12">
        <v>221489.36</v>
      </c>
      <c r="N266" t="s">
        <v>1</v>
      </c>
      <c r="O266" s="12">
        <v>14765.96</v>
      </c>
      <c r="P266" s="12">
        <v>43509.45</v>
      </c>
      <c r="Q266" s="12">
        <v>2900.63</v>
      </c>
    </row>
    <row r="267" spans="1:17" x14ac:dyDescent="0.2">
      <c r="A267" t="s">
        <v>29</v>
      </c>
      <c r="B267" t="s">
        <v>30</v>
      </c>
      <c r="C267" s="5">
        <v>51056619.82</v>
      </c>
      <c r="D267" s="2">
        <v>44943</v>
      </c>
      <c r="E267" s="5">
        <f t="shared" si="7"/>
        <v>107218901.62200001</v>
      </c>
      <c r="F267" s="2">
        <v>44945</v>
      </c>
      <c r="G267" s="3" t="s">
        <v>458</v>
      </c>
      <c r="H267" t="s">
        <v>162</v>
      </c>
      <c r="I267" s="7">
        <v>49689</v>
      </c>
      <c r="J267" t="s">
        <v>20</v>
      </c>
      <c r="K267" s="12">
        <v>12000</v>
      </c>
      <c r="L267" t="s">
        <v>0</v>
      </c>
      <c r="M267" s="12">
        <v>203046</v>
      </c>
      <c r="N267" t="s">
        <v>1</v>
      </c>
      <c r="O267" s="12">
        <v>16.920000000000002</v>
      </c>
      <c r="P267" s="12">
        <v>39886.46</v>
      </c>
      <c r="Q267" s="12">
        <v>3.32</v>
      </c>
    </row>
    <row r="268" spans="1:17" x14ac:dyDescent="0.2">
      <c r="A268" t="s">
        <v>29</v>
      </c>
      <c r="B268" t="s">
        <v>30</v>
      </c>
      <c r="C268" s="5">
        <v>51056619.829999998</v>
      </c>
      <c r="D268" s="2">
        <v>44944</v>
      </c>
      <c r="E268" s="5">
        <f t="shared" si="7"/>
        <v>107218901.64300001</v>
      </c>
      <c r="F268" s="2">
        <v>44945</v>
      </c>
      <c r="G268" s="3" t="s">
        <v>354</v>
      </c>
      <c r="H268" t="s">
        <v>63</v>
      </c>
      <c r="I268" s="7">
        <v>49689</v>
      </c>
      <c r="J268" t="s">
        <v>20</v>
      </c>
      <c r="K268" s="12">
        <v>30000</v>
      </c>
      <c r="L268" t="s">
        <v>0</v>
      </c>
      <c r="M268" s="12">
        <v>512490</v>
      </c>
      <c r="N268" t="s">
        <v>1</v>
      </c>
      <c r="O268" s="12">
        <v>17.079999999999998</v>
      </c>
      <c r="P268" s="12">
        <v>100673.79</v>
      </c>
      <c r="Q268" s="12">
        <v>3.36</v>
      </c>
    </row>
    <row r="269" spans="1:17" x14ac:dyDescent="0.2">
      <c r="A269" t="s">
        <v>29</v>
      </c>
      <c r="B269" t="s">
        <v>30</v>
      </c>
      <c r="C269" s="5">
        <v>51056619.899999999</v>
      </c>
      <c r="D269" s="2">
        <v>44943</v>
      </c>
      <c r="E269" s="5">
        <f t="shared" si="7"/>
        <v>107218901.79000001</v>
      </c>
      <c r="F269" s="2">
        <v>44945</v>
      </c>
      <c r="G269" s="3" t="s">
        <v>456</v>
      </c>
      <c r="H269" t="s">
        <v>160</v>
      </c>
      <c r="I269" s="7">
        <v>49689</v>
      </c>
      <c r="J269" t="s">
        <v>20</v>
      </c>
      <c r="K269" s="12">
        <v>14400</v>
      </c>
      <c r="L269" t="s">
        <v>0</v>
      </c>
      <c r="M269" s="12">
        <v>238843.19</v>
      </c>
      <c r="N269" t="s">
        <v>1</v>
      </c>
      <c r="O269" s="12">
        <v>16.59</v>
      </c>
      <c r="P269" s="12">
        <v>46918.48</v>
      </c>
      <c r="Q269" s="12">
        <v>3.26</v>
      </c>
    </row>
    <row r="270" spans="1:17" x14ac:dyDescent="0.2">
      <c r="A270" t="s">
        <v>29</v>
      </c>
      <c r="B270" t="s">
        <v>30</v>
      </c>
      <c r="C270" s="5">
        <v>51056620.149999999</v>
      </c>
      <c r="D270" s="2">
        <v>44944</v>
      </c>
      <c r="E270" s="5">
        <f t="shared" si="7"/>
        <v>107218902.315</v>
      </c>
      <c r="F270" s="2">
        <v>44945</v>
      </c>
      <c r="G270" s="3" t="s">
        <v>459</v>
      </c>
      <c r="H270" t="s">
        <v>163</v>
      </c>
      <c r="I270" s="7">
        <v>49689</v>
      </c>
      <c r="J270" t="s">
        <v>20</v>
      </c>
      <c r="K270" s="12">
        <v>4725</v>
      </c>
      <c r="L270" t="s">
        <v>0</v>
      </c>
      <c r="M270" s="12">
        <v>80218.69</v>
      </c>
      <c r="N270" t="s">
        <v>1</v>
      </c>
      <c r="O270" s="12">
        <v>16.98</v>
      </c>
      <c r="P270" s="12">
        <v>15758.2</v>
      </c>
      <c r="Q270" s="12">
        <v>3.34</v>
      </c>
    </row>
    <row r="271" spans="1:17" x14ac:dyDescent="0.2">
      <c r="A271" t="s">
        <v>29</v>
      </c>
      <c r="B271" t="s">
        <v>30</v>
      </c>
      <c r="C271" s="5">
        <v>51056620.410000004</v>
      </c>
      <c r="D271" s="2">
        <v>44944</v>
      </c>
      <c r="E271" s="5">
        <f t="shared" si="7"/>
        <v>107218902.86100002</v>
      </c>
      <c r="F271" s="2">
        <v>44945</v>
      </c>
      <c r="G271" s="3" t="s">
        <v>432</v>
      </c>
      <c r="H271" t="s">
        <v>137</v>
      </c>
      <c r="I271" s="7">
        <v>49689</v>
      </c>
      <c r="J271" t="s">
        <v>20</v>
      </c>
      <c r="K271" s="12">
        <v>15000</v>
      </c>
      <c r="L271" t="s">
        <v>0</v>
      </c>
      <c r="M271" s="12">
        <v>253750</v>
      </c>
      <c r="N271" t="s">
        <v>1</v>
      </c>
      <c r="O271" s="12">
        <v>16.920000000000002</v>
      </c>
      <c r="P271" s="12">
        <v>49846.78</v>
      </c>
      <c r="Q271" s="12">
        <v>3.32</v>
      </c>
    </row>
    <row r="272" spans="1:17" x14ac:dyDescent="0.2">
      <c r="A272" t="s">
        <v>29</v>
      </c>
      <c r="B272" t="s">
        <v>30</v>
      </c>
      <c r="C272" s="5">
        <v>51056620.420000002</v>
      </c>
      <c r="D272" s="2">
        <v>44943</v>
      </c>
      <c r="E272" s="5">
        <f t="shared" si="7"/>
        <v>107218902.88200001</v>
      </c>
      <c r="F272" s="2">
        <v>44945</v>
      </c>
      <c r="G272" s="3" t="s">
        <v>460</v>
      </c>
      <c r="H272" t="s">
        <v>164</v>
      </c>
      <c r="I272" s="7">
        <v>49689</v>
      </c>
      <c r="J272" t="s">
        <v>20</v>
      </c>
      <c r="K272" s="12">
        <v>5880</v>
      </c>
      <c r="L272" t="s">
        <v>0</v>
      </c>
      <c r="M272" s="12">
        <v>99492.54</v>
      </c>
      <c r="N272" t="s">
        <v>1</v>
      </c>
      <c r="O272" s="12">
        <v>16.920000000000002</v>
      </c>
      <c r="P272" s="12">
        <v>19544.36</v>
      </c>
      <c r="Q272" s="12">
        <v>3.32</v>
      </c>
    </row>
    <row r="273" spans="1:17" x14ac:dyDescent="0.2">
      <c r="A273" t="s">
        <v>29</v>
      </c>
      <c r="B273" t="s">
        <v>30</v>
      </c>
      <c r="C273" s="5">
        <v>51056620.439999998</v>
      </c>
      <c r="D273" s="2">
        <v>44944</v>
      </c>
      <c r="E273" s="5">
        <f t="shared" si="7"/>
        <v>107218902.92399999</v>
      </c>
      <c r="F273" s="2">
        <v>44945</v>
      </c>
      <c r="G273" s="3" t="s">
        <v>461</v>
      </c>
      <c r="H273" t="s">
        <v>165</v>
      </c>
      <c r="I273" s="7">
        <v>49689</v>
      </c>
      <c r="J273" t="s">
        <v>20</v>
      </c>
      <c r="K273" s="12">
        <v>5883.5</v>
      </c>
      <c r="L273" t="s">
        <v>0</v>
      </c>
      <c r="M273" s="12">
        <v>100411.34</v>
      </c>
      <c r="N273" t="s">
        <v>1</v>
      </c>
      <c r="O273" s="12">
        <v>17.07</v>
      </c>
      <c r="P273" s="12">
        <v>19724.849999999999</v>
      </c>
      <c r="Q273" s="12">
        <v>3.35</v>
      </c>
    </row>
    <row r="274" spans="1:17" x14ac:dyDescent="0.2">
      <c r="A274" t="s">
        <v>29</v>
      </c>
      <c r="B274" t="s">
        <v>30</v>
      </c>
      <c r="C274" s="5">
        <v>51056620.710000001</v>
      </c>
      <c r="D274" s="2">
        <v>44943</v>
      </c>
      <c r="E274" s="5">
        <f t="shared" si="7"/>
        <v>107218903.49100001</v>
      </c>
      <c r="F274" s="2">
        <v>44945</v>
      </c>
      <c r="G274" s="3" t="s">
        <v>462</v>
      </c>
      <c r="H274" t="s">
        <v>166</v>
      </c>
      <c r="I274" s="7">
        <v>49689</v>
      </c>
      <c r="J274" t="s">
        <v>20</v>
      </c>
      <c r="K274" s="12">
        <v>6780</v>
      </c>
      <c r="L274" t="s">
        <v>0</v>
      </c>
      <c r="M274" s="12">
        <v>114720.99</v>
      </c>
      <c r="N274" t="s">
        <v>1</v>
      </c>
      <c r="O274" s="12">
        <v>16.920000000000002</v>
      </c>
      <c r="P274" s="12">
        <v>22535.85</v>
      </c>
      <c r="Q274" s="12">
        <v>3.32</v>
      </c>
    </row>
    <row r="275" spans="1:17" x14ac:dyDescent="0.2">
      <c r="A275" t="s">
        <v>29</v>
      </c>
      <c r="B275" t="s">
        <v>30</v>
      </c>
      <c r="C275" s="5">
        <v>51056621.450000003</v>
      </c>
      <c r="D275" s="2">
        <v>44944</v>
      </c>
      <c r="E275" s="5">
        <f t="shared" si="7"/>
        <v>107218905.04500002</v>
      </c>
      <c r="F275" s="2">
        <v>44945</v>
      </c>
      <c r="G275" s="3" t="s">
        <v>420</v>
      </c>
      <c r="H275" t="s">
        <v>125</v>
      </c>
      <c r="I275" s="7">
        <v>49689</v>
      </c>
      <c r="J275" t="s">
        <v>20</v>
      </c>
      <c r="K275" s="12">
        <v>2400</v>
      </c>
      <c r="L275" t="s">
        <v>0</v>
      </c>
      <c r="M275" s="12">
        <v>36365.199999999997</v>
      </c>
      <c r="N275" t="s">
        <v>1</v>
      </c>
      <c r="O275" s="12">
        <v>15.15</v>
      </c>
      <c r="P275" s="12">
        <v>7143.6</v>
      </c>
      <c r="Q275" s="12">
        <v>2.98</v>
      </c>
    </row>
    <row r="276" spans="1:17" x14ac:dyDescent="0.2">
      <c r="A276" t="s">
        <v>29</v>
      </c>
      <c r="B276" t="s">
        <v>30</v>
      </c>
      <c r="C276" s="5">
        <v>51056621.460000001</v>
      </c>
      <c r="D276" s="2">
        <v>44943</v>
      </c>
      <c r="E276" s="5">
        <f t="shared" si="7"/>
        <v>107218905.066</v>
      </c>
      <c r="F276" s="2">
        <v>44945</v>
      </c>
      <c r="G276" s="3" t="s">
        <v>447</v>
      </c>
      <c r="H276" t="s">
        <v>151</v>
      </c>
      <c r="I276" s="7">
        <v>49689</v>
      </c>
      <c r="J276" t="s">
        <v>20</v>
      </c>
      <c r="K276" s="12">
        <v>2100</v>
      </c>
      <c r="L276" t="s">
        <v>0</v>
      </c>
      <c r="M276" s="12">
        <v>33768.629999999997</v>
      </c>
      <c r="N276" t="s">
        <v>1</v>
      </c>
      <c r="O276" s="12">
        <v>16.079999999999998</v>
      </c>
      <c r="P276" s="12">
        <v>6633.53</v>
      </c>
      <c r="Q276" s="12">
        <v>3.16</v>
      </c>
    </row>
    <row r="277" spans="1:17" x14ac:dyDescent="0.2">
      <c r="A277" t="s">
        <v>29</v>
      </c>
      <c r="B277" t="s">
        <v>30</v>
      </c>
      <c r="C277" s="5">
        <v>51056621.620000005</v>
      </c>
      <c r="D277" s="2">
        <v>44944</v>
      </c>
      <c r="E277" s="5">
        <f t="shared" si="7"/>
        <v>107218905.40200001</v>
      </c>
      <c r="F277" s="2">
        <v>44945</v>
      </c>
      <c r="G277" s="3" t="s">
        <v>463</v>
      </c>
      <c r="H277" t="s">
        <v>167</v>
      </c>
      <c r="I277" s="7">
        <v>49689</v>
      </c>
      <c r="J277" t="s">
        <v>20</v>
      </c>
      <c r="K277" s="12">
        <v>1800</v>
      </c>
      <c r="L277" t="s">
        <v>0</v>
      </c>
      <c r="M277" s="12">
        <v>30609</v>
      </c>
      <c r="N277" t="s">
        <v>1</v>
      </c>
      <c r="O277" s="12">
        <v>17.010000000000002</v>
      </c>
      <c r="P277" s="12">
        <v>6012.85</v>
      </c>
      <c r="Q277" s="12">
        <v>3.34</v>
      </c>
    </row>
    <row r="278" spans="1:17" x14ac:dyDescent="0.2">
      <c r="A278" t="s">
        <v>29</v>
      </c>
      <c r="B278" t="s">
        <v>30</v>
      </c>
      <c r="C278" s="5">
        <v>51056622.609999999</v>
      </c>
      <c r="D278" s="2">
        <v>44945</v>
      </c>
      <c r="E278" s="5">
        <f t="shared" si="7"/>
        <v>107218907.48100001</v>
      </c>
      <c r="F278" s="2">
        <v>44945</v>
      </c>
      <c r="G278" s="3" t="s">
        <v>464</v>
      </c>
      <c r="H278" t="s">
        <v>168</v>
      </c>
      <c r="I278" s="7">
        <v>49689</v>
      </c>
      <c r="J278" t="s">
        <v>20</v>
      </c>
      <c r="K278" s="12">
        <v>3000</v>
      </c>
      <c r="L278" t="s">
        <v>0</v>
      </c>
      <c r="M278" s="12">
        <v>48730.95</v>
      </c>
      <c r="N278" t="s">
        <v>1</v>
      </c>
      <c r="O278" s="12">
        <v>16.239999999999998</v>
      </c>
      <c r="P278" s="12">
        <v>9572.73</v>
      </c>
      <c r="Q278" s="12">
        <v>3.19</v>
      </c>
    </row>
    <row r="279" spans="1:17" x14ac:dyDescent="0.2">
      <c r="A279" t="s">
        <v>29</v>
      </c>
      <c r="B279" t="s">
        <v>30</v>
      </c>
      <c r="C279" s="5">
        <v>51056622.899999999</v>
      </c>
      <c r="D279" s="2">
        <v>44944</v>
      </c>
      <c r="E279" s="5">
        <f t="shared" si="7"/>
        <v>107218908.09</v>
      </c>
      <c r="F279" s="2">
        <v>44945</v>
      </c>
      <c r="G279" s="3" t="s">
        <v>432</v>
      </c>
      <c r="H279" t="s">
        <v>137</v>
      </c>
      <c r="I279" s="7">
        <v>49731</v>
      </c>
      <c r="J279" t="s">
        <v>23</v>
      </c>
      <c r="K279" s="12">
        <v>15000</v>
      </c>
      <c r="L279" t="s">
        <v>0</v>
      </c>
      <c r="M279" s="12">
        <v>262500</v>
      </c>
      <c r="N279" t="s">
        <v>1</v>
      </c>
      <c r="O279" s="12">
        <v>17.5</v>
      </c>
      <c r="P279" s="12">
        <v>51565.63</v>
      </c>
      <c r="Q279" s="12">
        <v>3.44</v>
      </c>
    </row>
    <row r="280" spans="1:17" x14ac:dyDescent="0.2">
      <c r="A280" t="s">
        <v>29</v>
      </c>
      <c r="B280" t="s">
        <v>30</v>
      </c>
      <c r="C280" s="5">
        <v>51056623.490000002</v>
      </c>
      <c r="D280" s="2">
        <v>44944</v>
      </c>
      <c r="E280" s="5">
        <f t="shared" si="7"/>
        <v>107218909.32900001</v>
      </c>
      <c r="F280" s="2">
        <v>44945</v>
      </c>
      <c r="G280" s="3" t="s">
        <v>465</v>
      </c>
      <c r="H280" t="s">
        <v>169</v>
      </c>
      <c r="I280" s="7">
        <v>49731</v>
      </c>
      <c r="J280" t="s">
        <v>23</v>
      </c>
      <c r="K280" s="12">
        <v>5992</v>
      </c>
      <c r="L280" t="s">
        <v>0</v>
      </c>
      <c r="M280" s="12">
        <v>103992.36</v>
      </c>
      <c r="N280" t="s">
        <v>1</v>
      </c>
      <c r="O280" s="12">
        <v>17.36</v>
      </c>
      <c r="P280" s="12">
        <v>20428.310000000001</v>
      </c>
      <c r="Q280" s="12">
        <v>3.41</v>
      </c>
    </row>
    <row r="281" spans="1:17" x14ac:dyDescent="0.2">
      <c r="A281" t="s">
        <v>29</v>
      </c>
      <c r="B281" t="s">
        <v>30</v>
      </c>
      <c r="C281" s="5">
        <v>51056623.590000004</v>
      </c>
      <c r="D281" s="2">
        <v>44936</v>
      </c>
      <c r="E281" s="5">
        <f t="shared" si="7"/>
        <v>107218909.53900002</v>
      </c>
      <c r="F281" s="2">
        <v>44945</v>
      </c>
      <c r="G281" s="3" t="s">
        <v>326</v>
      </c>
      <c r="H281" t="s">
        <v>36</v>
      </c>
      <c r="I281" s="7">
        <v>35333</v>
      </c>
      <c r="J281" t="s">
        <v>22</v>
      </c>
      <c r="K281" s="12">
        <v>5.048</v>
      </c>
      <c r="L281" t="s">
        <v>2</v>
      </c>
      <c r="M281" s="12">
        <v>73268.570000000007</v>
      </c>
      <c r="N281" t="s">
        <v>1</v>
      </c>
      <c r="O281" s="12">
        <v>14514.38</v>
      </c>
      <c r="P281" s="12">
        <v>14392.92</v>
      </c>
      <c r="Q281" s="12">
        <v>2851.21</v>
      </c>
    </row>
    <row r="282" spans="1:17" x14ac:dyDescent="0.2">
      <c r="A282" t="s">
        <v>29</v>
      </c>
      <c r="B282" t="s">
        <v>30</v>
      </c>
      <c r="C282" s="5">
        <v>51056627.079999998</v>
      </c>
      <c r="D282" s="2">
        <v>44945</v>
      </c>
      <c r="E282" s="5">
        <f t="shared" si="7"/>
        <v>107218916.868</v>
      </c>
      <c r="F282" s="2">
        <v>44945</v>
      </c>
      <c r="G282" s="3" t="s">
        <v>466</v>
      </c>
      <c r="H282" t="s">
        <v>170</v>
      </c>
      <c r="I282" s="7">
        <v>35334</v>
      </c>
      <c r="J282" t="s">
        <v>24</v>
      </c>
      <c r="K282" s="12">
        <v>2.7029999999999998</v>
      </c>
      <c r="L282" t="s">
        <v>2</v>
      </c>
      <c r="M282" s="12">
        <v>26154.9</v>
      </c>
      <c r="N282" t="s">
        <v>1</v>
      </c>
      <c r="O282" s="12">
        <v>9676.25</v>
      </c>
      <c r="P282" s="12">
        <v>5137.88</v>
      </c>
      <c r="Q282" s="12">
        <v>1900.81</v>
      </c>
    </row>
    <row r="283" spans="1:17" x14ac:dyDescent="0.2">
      <c r="A283" t="s">
        <v>29</v>
      </c>
      <c r="B283" t="s">
        <v>30</v>
      </c>
      <c r="C283" s="5">
        <v>51056628.420000002</v>
      </c>
      <c r="D283" s="2">
        <v>44944</v>
      </c>
      <c r="E283" s="5">
        <f t="shared" si="7"/>
        <v>107218919.68200001</v>
      </c>
      <c r="F283" s="2">
        <v>44945</v>
      </c>
      <c r="G283" s="3" t="s">
        <v>457</v>
      </c>
      <c r="H283" t="s">
        <v>161</v>
      </c>
      <c r="I283" s="7">
        <v>49689</v>
      </c>
      <c r="J283" t="s">
        <v>20</v>
      </c>
      <c r="K283" s="12">
        <v>2040</v>
      </c>
      <c r="L283" t="s">
        <v>0</v>
      </c>
      <c r="M283" s="12">
        <v>30736</v>
      </c>
      <c r="N283" t="s">
        <v>1</v>
      </c>
      <c r="O283" s="12">
        <v>15.07</v>
      </c>
      <c r="P283" s="12">
        <v>6037.8</v>
      </c>
      <c r="Q283" s="12">
        <v>2.96</v>
      </c>
    </row>
    <row r="284" spans="1:17" x14ac:dyDescent="0.2">
      <c r="A284" t="s">
        <v>29</v>
      </c>
      <c r="B284" t="s">
        <v>30</v>
      </c>
      <c r="C284" s="5">
        <v>51056628.469999999</v>
      </c>
      <c r="D284" s="2">
        <v>44945</v>
      </c>
      <c r="E284" s="5">
        <f t="shared" si="7"/>
        <v>107218919.787</v>
      </c>
      <c r="F284" s="2">
        <v>44945</v>
      </c>
      <c r="G284" s="3" t="s">
        <v>467</v>
      </c>
      <c r="H284" t="s">
        <v>171</v>
      </c>
      <c r="I284" s="7">
        <v>49689</v>
      </c>
      <c r="J284" t="s">
        <v>20</v>
      </c>
      <c r="K284" s="12">
        <v>4080</v>
      </c>
      <c r="L284" t="s">
        <v>0</v>
      </c>
      <c r="M284" s="12">
        <v>69434.8</v>
      </c>
      <c r="N284" t="s">
        <v>1</v>
      </c>
      <c r="O284" s="12">
        <v>17.02</v>
      </c>
      <c r="P284" s="12">
        <v>13639.81</v>
      </c>
      <c r="Q284" s="12">
        <v>3.34</v>
      </c>
    </row>
    <row r="285" spans="1:17" x14ac:dyDescent="0.2">
      <c r="A285" t="s">
        <v>29</v>
      </c>
      <c r="B285" t="s">
        <v>30</v>
      </c>
      <c r="C285" s="5">
        <v>51056630.600000001</v>
      </c>
      <c r="D285" s="2">
        <v>44946</v>
      </c>
      <c r="E285" s="5">
        <f t="shared" si="7"/>
        <v>107218924.26000001</v>
      </c>
      <c r="F285" s="2">
        <v>44945</v>
      </c>
      <c r="G285" s="3" t="s">
        <v>367</v>
      </c>
      <c r="H285" t="s">
        <v>76</v>
      </c>
      <c r="I285" s="7">
        <v>35334</v>
      </c>
      <c r="J285" t="s">
        <v>24</v>
      </c>
      <c r="K285" s="12">
        <v>15</v>
      </c>
      <c r="L285" t="s">
        <v>2</v>
      </c>
      <c r="M285" s="12">
        <v>208039.38</v>
      </c>
      <c r="N285" t="s">
        <v>1</v>
      </c>
      <c r="O285" s="12">
        <v>13869.29</v>
      </c>
      <c r="P285" s="12">
        <v>28512.799999999999</v>
      </c>
      <c r="Q285" s="12">
        <v>1900.85</v>
      </c>
    </row>
    <row r="286" spans="1:17" x14ac:dyDescent="0.2">
      <c r="A286" t="s">
        <v>29</v>
      </c>
      <c r="B286" t="s">
        <v>30</v>
      </c>
      <c r="C286" s="5">
        <v>51056631.219999999</v>
      </c>
      <c r="D286" s="2">
        <v>44943</v>
      </c>
      <c r="E286" s="5">
        <f t="shared" si="7"/>
        <v>107218925.56200001</v>
      </c>
      <c r="F286" s="2">
        <v>44945</v>
      </c>
      <c r="G286" s="3" t="s">
        <v>452</v>
      </c>
      <c r="H286" t="s">
        <v>156</v>
      </c>
      <c r="I286" s="7">
        <v>49731</v>
      </c>
      <c r="J286" t="s">
        <v>23</v>
      </c>
      <c r="K286" s="12">
        <v>5310</v>
      </c>
      <c r="L286" t="s">
        <v>0</v>
      </c>
      <c r="M286" s="12">
        <v>93392.28</v>
      </c>
      <c r="N286" t="s">
        <v>1</v>
      </c>
      <c r="O286" s="12">
        <v>17.59</v>
      </c>
      <c r="P286" s="12">
        <v>18346.03</v>
      </c>
      <c r="Q286" s="12">
        <v>3.45</v>
      </c>
    </row>
    <row r="287" spans="1:17" x14ac:dyDescent="0.2">
      <c r="A287" t="s">
        <v>29</v>
      </c>
      <c r="B287" t="s">
        <v>30</v>
      </c>
      <c r="C287" s="5">
        <v>51056631.259999998</v>
      </c>
      <c r="D287" s="2">
        <v>44944</v>
      </c>
      <c r="E287" s="5">
        <f t="shared" si="7"/>
        <v>107218925.646</v>
      </c>
      <c r="F287" s="2">
        <v>44945</v>
      </c>
      <c r="G287" s="3" t="s">
        <v>321</v>
      </c>
      <c r="H287" t="s">
        <v>31</v>
      </c>
      <c r="I287" s="7">
        <v>49689</v>
      </c>
      <c r="J287" t="s">
        <v>20</v>
      </c>
      <c r="K287" s="12">
        <v>3000</v>
      </c>
      <c r="L287" t="s">
        <v>0</v>
      </c>
      <c r="M287" s="12">
        <v>51850</v>
      </c>
      <c r="N287" t="s">
        <v>1</v>
      </c>
      <c r="O287" s="12">
        <v>17.28</v>
      </c>
      <c r="P287" s="12">
        <v>10185.44</v>
      </c>
      <c r="Q287" s="12">
        <v>3.4</v>
      </c>
    </row>
    <row r="288" spans="1:17" x14ac:dyDescent="0.2">
      <c r="A288" t="s">
        <v>29</v>
      </c>
      <c r="B288" t="s">
        <v>30</v>
      </c>
      <c r="C288" s="5">
        <v>51056633.340000004</v>
      </c>
      <c r="D288" s="2">
        <v>44943</v>
      </c>
      <c r="E288" s="5">
        <f t="shared" si="7"/>
        <v>107218930.01400001</v>
      </c>
      <c r="F288" s="2">
        <v>44945</v>
      </c>
      <c r="G288" s="3" t="s">
        <v>452</v>
      </c>
      <c r="H288" t="s">
        <v>156</v>
      </c>
      <c r="I288" s="7">
        <v>49689</v>
      </c>
      <c r="J288" t="s">
        <v>20</v>
      </c>
      <c r="K288" s="12">
        <v>3000</v>
      </c>
      <c r="L288" t="s">
        <v>0</v>
      </c>
      <c r="M288" s="12">
        <v>49749</v>
      </c>
      <c r="N288" t="s">
        <v>1</v>
      </c>
      <c r="O288" s="12">
        <v>16.579999999999998</v>
      </c>
      <c r="P288" s="12">
        <v>9772.7199999999993</v>
      </c>
      <c r="Q288" s="12">
        <v>3.26</v>
      </c>
    </row>
    <row r="289" spans="1:17" x14ac:dyDescent="0.2">
      <c r="A289" t="s">
        <v>29</v>
      </c>
      <c r="B289" t="s">
        <v>30</v>
      </c>
      <c r="C289" s="5">
        <v>51056633.380000003</v>
      </c>
      <c r="D289" s="2">
        <v>44945</v>
      </c>
      <c r="E289" s="5">
        <f t="shared" si="7"/>
        <v>107218930.098</v>
      </c>
      <c r="F289" s="2">
        <v>44945</v>
      </c>
      <c r="G289" s="3" t="s">
        <v>468</v>
      </c>
      <c r="H289" t="s">
        <v>133</v>
      </c>
      <c r="I289" s="7">
        <v>49689</v>
      </c>
      <c r="J289" t="s">
        <v>20</v>
      </c>
      <c r="K289" s="12">
        <v>17400</v>
      </c>
      <c r="L289" t="s">
        <v>0</v>
      </c>
      <c r="M289" s="12">
        <v>268651.94</v>
      </c>
      <c r="N289" t="s">
        <v>1</v>
      </c>
      <c r="O289" s="12">
        <v>15.44</v>
      </c>
      <c r="P289" s="12">
        <v>52774.12</v>
      </c>
      <c r="Q289" s="12">
        <v>3.03</v>
      </c>
    </row>
    <row r="290" spans="1:17" x14ac:dyDescent="0.2">
      <c r="A290" t="s">
        <v>29</v>
      </c>
      <c r="B290" t="s">
        <v>30</v>
      </c>
      <c r="C290" s="5">
        <v>51056633.390000001</v>
      </c>
      <c r="D290" s="2">
        <v>44943</v>
      </c>
      <c r="E290" s="5">
        <f t="shared" si="7"/>
        <v>107218930.119</v>
      </c>
      <c r="F290" s="2">
        <v>44945</v>
      </c>
      <c r="G290" s="3" t="s">
        <v>469</v>
      </c>
      <c r="H290" t="s">
        <v>172</v>
      </c>
      <c r="I290" s="7">
        <v>49689</v>
      </c>
      <c r="J290" t="s">
        <v>20</v>
      </c>
      <c r="K290" s="12">
        <v>1860</v>
      </c>
      <c r="L290" t="s">
        <v>0</v>
      </c>
      <c r="M290" s="12">
        <v>31443.3</v>
      </c>
      <c r="N290" t="s">
        <v>1</v>
      </c>
      <c r="O290" s="12">
        <v>16.91</v>
      </c>
      <c r="P290" s="12">
        <v>6176.74</v>
      </c>
      <c r="Q290" s="12">
        <v>3.32</v>
      </c>
    </row>
    <row r="291" spans="1:17" x14ac:dyDescent="0.2">
      <c r="A291" t="s">
        <v>29</v>
      </c>
      <c r="B291" t="s">
        <v>30</v>
      </c>
      <c r="C291" s="5">
        <v>51056634.670000002</v>
      </c>
      <c r="D291" s="2">
        <v>44943</v>
      </c>
      <c r="E291" s="5">
        <f t="shared" si="7"/>
        <v>107218932.80700001</v>
      </c>
      <c r="F291" s="2">
        <v>44945</v>
      </c>
      <c r="G291" s="3" t="s">
        <v>470</v>
      </c>
      <c r="H291" t="s">
        <v>173</v>
      </c>
      <c r="I291" s="7">
        <v>49689</v>
      </c>
      <c r="J291" t="s">
        <v>20</v>
      </c>
      <c r="K291" s="12">
        <v>13860</v>
      </c>
      <c r="L291" t="s">
        <v>0</v>
      </c>
      <c r="M291" s="12">
        <v>234303.3</v>
      </c>
      <c r="N291" t="s">
        <v>1</v>
      </c>
      <c r="O291" s="12">
        <v>16.91</v>
      </c>
      <c r="P291" s="12">
        <v>46026.66</v>
      </c>
      <c r="Q291" s="12">
        <v>3.32</v>
      </c>
    </row>
    <row r="292" spans="1:17" x14ac:dyDescent="0.2">
      <c r="A292" t="s">
        <v>29</v>
      </c>
      <c r="B292" t="s">
        <v>30</v>
      </c>
      <c r="C292" s="5">
        <v>51056636.740000002</v>
      </c>
      <c r="D292" s="2">
        <v>44943</v>
      </c>
      <c r="E292" s="5">
        <f t="shared" si="7"/>
        <v>107218937.15400001</v>
      </c>
      <c r="F292" s="2">
        <v>44945</v>
      </c>
      <c r="G292" s="3" t="s">
        <v>471</v>
      </c>
      <c r="H292" t="s">
        <v>174</v>
      </c>
      <c r="I292" s="7">
        <v>49689</v>
      </c>
      <c r="J292" t="s">
        <v>20</v>
      </c>
      <c r="K292" s="12">
        <v>6660</v>
      </c>
      <c r="L292" t="s">
        <v>0</v>
      </c>
      <c r="M292" s="12">
        <v>112587.3</v>
      </c>
      <c r="N292" t="s">
        <v>1</v>
      </c>
      <c r="O292" s="12">
        <v>16.91</v>
      </c>
      <c r="P292" s="12">
        <v>22116.71</v>
      </c>
      <c r="Q292" s="12">
        <v>3.32</v>
      </c>
    </row>
    <row r="293" spans="1:17" x14ac:dyDescent="0.2">
      <c r="A293" t="s">
        <v>29</v>
      </c>
      <c r="B293" t="s">
        <v>30</v>
      </c>
      <c r="C293" s="5">
        <v>51056637.710000001</v>
      </c>
      <c r="D293" s="2">
        <v>44945</v>
      </c>
      <c r="E293" s="5">
        <f t="shared" si="7"/>
        <v>107218939.191</v>
      </c>
      <c r="F293" s="2">
        <v>44945</v>
      </c>
      <c r="G293" s="3" t="s">
        <v>330</v>
      </c>
      <c r="H293" t="s">
        <v>40</v>
      </c>
      <c r="I293" s="7">
        <v>49689</v>
      </c>
      <c r="J293" t="s">
        <v>20</v>
      </c>
      <c r="K293" s="12">
        <v>35880</v>
      </c>
      <c r="L293" t="s">
        <v>0</v>
      </c>
      <c r="M293" s="12">
        <v>526192.16</v>
      </c>
      <c r="N293" t="s">
        <v>1</v>
      </c>
      <c r="O293" s="12">
        <v>14.67</v>
      </c>
      <c r="P293" s="12">
        <v>103365.45</v>
      </c>
      <c r="Q293" s="12">
        <v>2.88</v>
      </c>
    </row>
    <row r="294" spans="1:17" x14ac:dyDescent="0.2">
      <c r="A294" t="s">
        <v>29</v>
      </c>
      <c r="B294" t="s">
        <v>30</v>
      </c>
      <c r="C294" s="5">
        <v>51056637.880000003</v>
      </c>
      <c r="D294" s="2">
        <v>44944</v>
      </c>
      <c r="E294" s="5">
        <f t="shared" si="7"/>
        <v>107218939.54800001</v>
      </c>
      <c r="F294" s="2">
        <v>44945</v>
      </c>
      <c r="G294" s="3" t="s">
        <v>472</v>
      </c>
      <c r="H294" t="s">
        <v>175</v>
      </c>
      <c r="I294" s="7">
        <v>49689</v>
      </c>
      <c r="J294" t="s">
        <v>20</v>
      </c>
      <c r="K294" s="12">
        <v>11400</v>
      </c>
      <c r="L294" t="s">
        <v>0</v>
      </c>
      <c r="M294" s="12">
        <v>195700</v>
      </c>
      <c r="N294" t="s">
        <v>1</v>
      </c>
      <c r="O294" s="12">
        <v>17.170000000000002</v>
      </c>
      <c r="P294" s="12">
        <v>38450.74</v>
      </c>
      <c r="Q294" s="12">
        <v>3.37</v>
      </c>
    </row>
    <row r="295" spans="1:17" x14ac:dyDescent="0.2">
      <c r="A295" t="s">
        <v>29</v>
      </c>
      <c r="B295" t="s">
        <v>30</v>
      </c>
      <c r="C295" s="5">
        <v>51056639.82</v>
      </c>
      <c r="D295" s="2">
        <v>44946</v>
      </c>
      <c r="E295" s="5">
        <f t="shared" si="7"/>
        <v>107218943.62200001</v>
      </c>
      <c r="F295" s="2">
        <v>44945</v>
      </c>
      <c r="G295" s="3" t="s">
        <v>473</v>
      </c>
      <c r="H295" t="s">
        <v>176</v>
      </c>
      <c r="I295" s="7">
        <v>35334</v>
      </c>
      <c r="J295" t="s">
        <v>24</v>
      </c>
      <c r="K295" s="12">
        <v>15</v>
      </c>
      <c r="L295" t="s">
        <v>2</v>
      </c>
      <c r="M295" s="12">
        <v>212877.99</v>
      </c>
      <c r="N295" t="s">
        <v>1</v>
      </c>
      <c r="O295" s="12">
        <v>14191.87</v>
      </c>
      <c r="P295" s="12">
        <v>28704.6</v>
      </c>
      <c r="Q295" s="12">
        <v>1913.64</v>
      </c>
    </row>
    <row r="296" spans="1:17" x14ac:dyDescent="0.2">
      <c r="A296" t="s">
        <v>29</v>
      </c>
      <c r="B296" t="s">
        <v>30</v>
      </c>
      <c r="C296" s="5">
        <v>51056641.670000002</v>
      </c>
      <c r="D296" s="2">
        <v>44944</v>
      </c>
      <c r="E296" s="5">
        <f t="shared" si="7"/>
        <v>107218947.50700001</v>
      </c>
      <c r="F296" s="2">
        <v>44945</v>
      </c>
      <c r="G296" s="3" t="s">
        <v>474</v>
      </c>
      <c r="H296" t="s">
        <v>57</v>
      </c>
      <c r="I296" s="7">
        <v>49689</v>
      </c>
      <c r="J296" t="s">
        <v>20</v>
      </c>
      <c r="K296" s="12">
        <v>81382.5</v>
      </c>
      <c r="L296" t="s">
        <v>0</v>
      </c>
      <c r="M296" s="12">
        <v>1233039.82</v>
      </c>
      <c r="N296" t="s">
        <v>1</v>
      </c>
      <c r="O296" s="12">
        <v>15.15</v>
      </c>
      <c r="P296" s="12">
        <v>242218.96</v>
      </c>
      <c r="Q296" s="12">
        <v>2.98</v>
      </c>
    </row>
    <row r="297" spans="1:17" x14ac:dyDescent="0.2">
      <c r="A297" t="s">
        <v>29</v>
      </c>
      <c r="B297" t="s">
        <v>30</v>
      </c>
      <c r="C297" s="5">
        <v>51056641.68</v>
      </c>
      <c r="D297" s="2">
        <v>44945</v>
      </c>
      <c r="E297" s="5">
        <f t="shared" si="7"/>
        <v>107218947.528</v>
      </c>
      <c r="F297" s="2">
        <v>44945</v>
      </c>
      <c r="G297" s="3" t="s">
        <v>382</v>
      </c>
      <c r="H297" t="s">
        <v>91</v>
      </c>
      <c r="I297" s="7">
        <v>49689</v>
      </c>
      <c r="J297" t="s">
        <v>20</v>
      </c>
      <c r="K297" s="12">
        <v>3120</v>
      </c>
      <c r="L297" t="s">
        <v>0</v>
      </c>
      <c r="M297" s="12">
        <v>55405.48</v>
      </c>
      <c r="N297" t="s">
        <v>1</v>
      </c>
      <c r="O297" s="12">
        <v>17.760000000000002</v>
      </c>
      <c r="P297" s="12">
        <v>10883.88</v>
      </c>
      <c r="Q297" s="12">
        <v>3.49</v>
      </c>
    </row>
    <row r="298" spans="1:17" x14ac:dyDescent="0.2">
      <c r="A298" t="s">
        <v>29</v>
      </c>
      <c r="B298" t="s">
        <v>30</v>
      </c>
      <c r="C298" s="5">
        <v>51056641.689999998</v>
      </c>
      <c r="D298" s="2">
        <v>44945</v>
      </c>
      <c r="E298" s="5">
        <f t="shared" si="7"/>
        <v>107218947.54899999</v>
      </c>
      <c r="F298" s="2">
        <v>44945</v>
      </c>
      <c r="G298" s="3" t="s">
        <v>475</v>
      </c>
      <c r="H298" t="s">
        <v>177</v>
      </c>
      <c r="I298" s="7">
        <v>49689</v>
      </c>
      <c r="J298" t="s">
        <v>20</v>
      </c>
      <c r="K298" s="12">
        <v>3011.8</v>
      </c>
      <c r="L298" t="s">
        <v>0</v>
      </c>
      <c r="M298" s="12">
        <v>53489.57</v>
      </c>
      <c r="N298" t="s">
        <v>1</v>
      </c>
      <c r="O298" s="12">
        <v>17.760000000000002</v>
      </c>
      <c r="P298" s="12">
        <v>10507.52</v>
      </c>
      <c r="Q298" s="12">
        <v>3.49</v>
      </c>
    </row>
    <row r="299" spans="1:17" x14ac:dyDescent="0.2">
      <c r="A299" t="s">
        <v>29</v>
      </c>
      <c r="B299" t="s">
        <v>30</v>
      </c>
      <c r="C299" s="5">
        <v>51056641.700000003</v>
      </c>
      <c r="D299" s="2">
        <v>44943</v>
      </c>
      <c r="E299" s="5">
        <f t="shared" ref="E299:E362" si="8">C299*2.1</f>
        <v>107218947.57000001</v>
      </c>
      <c r="F299" s="2">
        <v>44945</v>
      </c>
      <c r="G299" s="3" t="s">
        <v>476</v>
      </c>
      <c r="H299" t="s">
        <v>178</v>
      </c>
      <c r="I299" s="7">
        <v>49689</v>
      </c>
      <c r="J299" t="s">
        <v>20</v>
      </c>
      <c r="K299" s="12">
        <v>12000</v>
      </c>
      <c r="L299" t="s">
        <v>0</v>
      </c>
      <c r="M299" s="12">
        <v>203046</v>
      </c>
      <c r="N299" t="s">
        <v>1</v>
      </c>
      <c r="O299" s="12">
        <v>16.920000000000002</v>
      </c>
      <c r="P299" s="12">
        <v>39886.46</v>
      </c>
      <c r="Q299" s="12">
        <v>3.32</v>
      </c>
    </row>
    <row r="300" spans="1:17" x14ac:dyDescent="0.2">
      <c r="A300" t="s">
        <v>29</v>
      </c>
      <c r="B300" t="s">
        <v>30</v>
      </c>
      <c r="C300" s="5">
        <v>51056643.259999998</v>
      </c>
      <c r="D300" s="2">
        <v>44943</v>
      </c>
      <c r="E300" s="5">
        <f t="shared" si="8"/>
        <v>107218950.846</v>
      </c>
      <c r="F300" s="2">
        <v>44945</v>
      </c>
      <c r="G300" s="3" t="s">
        <v>477</v>
      </c>
      <c r="H300" t="s">
        <v>179</v>
      </c>
      <c r="I300" s="7">
        <v>49689</v>
      </c>
      <c r="J300" t="s">
        <v>20</v>
      </c>
      <c r="K300" s="12">
        <v>4080</v>
      </c>
      <c r="L300" t="s">
        <v>0</v>
      </c>
      <c r="M300" s="12">
        <v>57130.879999999997</v>
      </c>
      <c r="N300" t="s">
        <v>1</v>
      </c>
      <c r="O300" s="12">
        <v>14</v>
      </c>
      <c r="P300" s="12">
        <v>11222.82</v>
      </c>
      <c r="Q300" s="12">
        <v>2.75</v>
      </c>
    </row>
    <row r="301" spans="1:17" x14ac:dyDescent="0.2">
      <c r="A301" t="s">
        <v>29</v>
      </c>
      <c r="B301" t="s">
        <v>30</v>
      </c>
      <c r="C301" s="5">
        <v>51056644.030000001</v>
      </c>
      <c r="D301" s="2">
        <v>44943</v>
      </c>
      <c r="E301" s="5">
        <f t="shared" si="8"/>
        <v>107218952.46300001</v>
      </c>
      <c r="F301" s="2">
        <v>44945</v>
      </c>
      <c r="G301" s="3" t="s">
        <v>442</v>
      </c>
      <c r="H301" t="s">
        <v>146</v>
      </c>
      <c r="I301" s="7">
        <v>49689</v>
      </c>
      <c r="J301" t="s">
        <v>20</v>
      </c>
      <c r="K301" s="12">
        <v>4140</v>
      </c>
      <c r="L301" t="s">
        <v>0</v>
      </c>
      <c r="M301" s="12">
        <v>70050.87</v>
      </c>
      <c r="N301" t="s">
        <v>1</v>
      </c>
      <c r="O301" s="12">
        <v>16.920000000000002</v>
      </c>
      <c r="P301" s="12">
        <v>13760.83</v>
      </c>
      <c r="Q301" s="12">
        <v>3.32</v>
      </c>
    </row>
    <row r="302" spans="1:17" x14ac:dyDescent="0.2">
      <c r="A302" t="s">
        <v>29</v>
      </c>
      <c r="B302" t="s">
        <v>30</v>
      </c>
      <c r="C302" s="5">
        <v>51056645.300000004</v>
      </c>
      <c r="D302" s="2">
        <v>44946</v>
      </c>
      <c r="E302" s="5">
        <f t="shared" si="8"/>
        <v>107218955.13000001</v>
      </c>
      <c r="F302" s="2">
        <v>44945</v>
      </c>
      <c r="G302" s="3" t="s">
        <v>363</v>
      </c>
      <c r="H302" t="s">
        <v>72</v>
      </c>
      <c r="I302" s="7">
        <v>35334</v>
      </c>
      <c r="J302" t="s">
        <v>24</v>
      </c>
      <c r="K302" s="12">
        <v>6</v>
      </c>
      <c r="L302" t="s">
        <v>2</v>
      </c>
      <c r="M302" s="12">
        <v>87086.25</v>
      </c>
      <c r="N302" t="s">
        <v>1</v>
      </c>
      <c r="O302" s="12">
        <v>14514.38</v>
      </c>
      <c r="P302" s="12">
        <v>11405.4</v>
      </c>
      <c r="Q302" s="12">
        <v>1900.9</v>
      </c>
    </row>
    <row r="303" spans="1:17" x14ac:dyDescent="0.2">
      <c r="A303" t="s">
        <v>29</v>
      </c>
      <c r="B303" t="s">
        <v>30</v>
      </c>
      <c r="C303" s="5">
        <v>51056645.630000003</v>
      </c>
      <c r="D303" s="2">
        <v>44943</v>
      </c>
      <c r="E303" s="5">
        <f t="shared" si="8"/>
        <v>107218955.82300001</v>
      </c>
      <c r="F303" s="2">
        <v>44945</v>
      </c>
      <c r="G303" s="3" t="s">
        <v>477</v>
      </c>
      <c r="H303" t="s">
        <v>179</v>
      </c>
      <c r="I303" s="7">
        <v>49731</v>
      </c>
      <c r="J303" t="s">
        <v>23</v>
      </c>
      <c r="K303" s="12">
        <v>1980</v>
      </c>
      <c r="L303" t="s">
        <v>0</v>
      </c>
      <c r="M303" s="12">
        <v>28527.84</v>
      </c>
      <c r="N303" t="s">
        <v>1</v>
      </c>
      <c r="O303" s="12">
        <v>14.41</v>
      </c>
      <c r="P303" s="12">
        <v>5604.02</v>
      </c>
      <c r="Q303" s="12">
        <v>2.83</v>
      </c>
    </row>
    <row r="304" spans="1:17" x14ac:dyDescent="0.2">
      <c r="A304" t="s">
        <v>29</v>
      </c>
      <c r="B304" t="s">
        <v>30</v>
      </c>
      <c r="C304" s="5">
        <v>51056645.700000003</v>
      </c>
      <c r="D304" s="2">
        <v>44943</v>
      </c>
      <c r="E304" s="5">
        <f t="shared" si="8"/>
        <v>107218955.97000001</v>
      </c>
      <c r="F304" s="2">
        <v>44945</v>
      </c>
      <c r="G304" s="3" t="s">
        <v>477</v>
      </c>
      <c r="H304" t="s">
        <v>179</v>
      </c>
      <c r="I304" s="7">
        <v>49731</v>
      </c>
      <c r="J304" t="s">
        <v>23</v>
      </c>
      <c r="K304" s="12">
        <v>2760</v>
      </c>
      <c r="L304" t="s">
        <v>0</v>
      </c>
      <c r="M304" s="12">
        <v>39525.5</v>
      </c>
      <c r="N304" t="s">
        <v>1</v>
      </c>
      <c r="O304" s="12">
        <v>14.32</v>
      </c>
      <c r="P304" s="12">
        <v>7764.41</v>
      </c>
      <c r="Q304" s="12">
        <v>2.81</v>
      </c>
    </row>
    <row r="305" spans="1:17" x14ac:dyDescent="0.2">
      <c r="A305" t="s">
        <v>29</v>
      </c>
      <c r="B305" t="s">
        <v>30</v>
      </c>
      <c r="C305" s="5">
        <v>51056666.230000004</v>
      </c>
      <c r="D305" s="2">
        <v>44945</v>
      </c>
      <c r="E305" s="5">
        <f t="shared" si="8"/>
        <v>107218999.08300002</v>
      </c>
      <c r="F305" s="2">
        <v>44946</v>
      </c>
      <c r="G305" s="3" t="s">
        <v>478</v>
      </c>
      <c r="H305" t="s">
        <v>180</v>
      </c>
      <c r="I305" s="7">
        <v>49689</v>
      </c>
      <c r="J305" t="s">
        <v>20</v>
      </c>
      <c r="K305" s="12">
        <v>6000</v>
      </c>
      <c r="L305" t="s">
        <v>0</v>
      </c>
      <c r="M305" s="12">
        <v>105125.4</v>
      </c>
      <c r="N305" t="s">
        <v>1</v>
      </c>
      <c r="O305" s="12">
        <v>17.52</v>
      </c>
      <c r="P305" s="12">
        <v>20161.75</v>
      </c>
      <c r="Q305" s="12">
        <v>3.36</v>
      </c>
    </row>
    <row r="306" spans="1:17" x14ac:dyDescent="0.2">
      <c r="A306" t="s">
        <v>29</v>
      </c>
      <c r="B306" t="s">
        <v>30</v>
      </c>
      <c r="C306" s="5">
        <v>51056668.270000003</v>
      </c>
      <c r="D306" s="2">
        <v>44945</v>
      </c>
      <c r="E306" s="5">
        <f t="shared" si="8"/>
        <v>107219003.36700001</v>
      </c>
      <c r="F306" s="2">
        <v>44946</v>
      </c>
      <c r="G306" s="3" t="s">
        <v>479</v>
      </c>
      <c r="H306" t="s">
        <v>181</v>
      </c>
      <c r="I306" s="7">
        <v>49689</v>
      </c>
      <c r="J306" t="s">
        <v>20</v>
      </c>
      <c r="K306" s="12">
        <v>1706</v>
      </c>
      <c r="L306" t="s">
        <v>0</v>
      </c>
      <c r="M306" s="12">
        <v>28971.8</v>
      </c>
      <c r="N306" t="s">
        <v>1</v>
      </c>
      <c r="O306" s="12">
        <v>16.98</v>
      </c>
      <c r="P306" s="12">
        <v>5556.43</v>
      </c>
      <c r="Q306" s="12">
        <v>3.26</v>
      </c>
    </row>
    <row r="307" spans="1:17" x14ac:dyDescent="0.2">
      <c r="A307" t="s">
        <v>29</v>
      </c>
      <c r="B307" t="s">
        <v>30</v>
      </c>
      <c r="C307" s="5">
        <v>51056668.300000004</v>
      </c>
      <c r="D307" s="2">
        <v>44946</v>
      </c>
      <c r="E307" s="5">
        <f t="shared" si="8"/>
        <v>107219003.43000001</v>
      </c>
      <c r="F307" s="2">
        <v>44946</v>
      </c>
      <c r="G307" s="3" t="s">
        <v>480</v>
      </c>
      <c r="H307" t="s">
        <v>182</v>
      </c>
      <c r="I307" s="7">
        <v>35333</v>
      </c>
      <c r="J307" t="s">
        <v>22</v>
      </c>
      <c r="K307" s="12">
        <v>1.95</v>
      </c>
      <c r="L307" t="s">
        <v>2</v>
      </c>
      <c r="M307" s="12">
        <v>27170.91</v>
      </c>
      <c r="N307" t="s">
        <v>1</v>
      </c>
      <c r="O307" s="12">
        <v>13933.8</v>
      </c>
      <c r="P307" s="12">
        <v>5337.46</v>
      </c>
      <c r="Q307" s="12">
        <v>2737.16</v>
      </c>
    </row>
    <row r="308" spans="1:17" x14ac:dyDescent="0.2">
      <c r="A308" t="s">
        <v>29</v>
      </c>
      <c r="B308" t="s">
        <v>30</v>
      </c>
      <c r="C308" s="5">
        <v>51056668.550000004</v>
      </c>
      <c r="D308" s="2">
        <v>44936</v>
      </c>
      <c r="E308" s="5">
        <f t="shared" si="8"/>
        <v>107219003.95500001</v>
      </c>
      <c r="F308" s="2">
        <v>44946</v>
      </c>
      <c r="G308" s="3" t="s">
        <v>410</v>
      </c>
      <c r="H308" t="s">
        <v>115</v>
      </c>
      <c r="I308" s="7">
        <v>35333</v>
      </c>
      <c r="J308" t="s">
        <v>22</v>
      </c>
      <c r="K308" s="12">
        <v>15</v>
      </c>
      <c r="L308" t="s">
        <v>2</v>
      </c>
      <c r="M308" s="12">
        <v>217715.63</v>
      </c>
      <c r="N308" t="s">
        <v>1</v>
      </c>
      <c r="O308" s="12">
        <v>14514.38</v>
      </c>
      <c r="P308" s="12">
        <v>42768.18</v>
      </c>
      <c r="Q308" s="12">
        <v>2851.21</v>
      </c>
    </row>
    <row r="309" spans="1:17" x14ac:dyDescent="0.2">
      <c r="A309" t="s">
        <v>29</v>
      </c>
      <c r="B309" t="s">
        <v>30</v>
      </c>
      <c r="C309" s="5">
        <v>51056669.630000003</v>
      </c>
      <c r="D309" s="2">
        <v>44945</v>
      </c>
      <c r="E309" s="5">
        <f t="shared" si="8"/>
        <v>107219006.223</v>
      </c>
      <c r="F309" s="2">
        <v>44946</v>
      </c>
      <c r="G309" s="3" t="s">
        <v>481</v>
      </c>
      <c r="H309" t="s">
        <v>183</v>
      </c>
      <c r="I309" s="7">
        <v>49689</v>
      </c>
      <c r="J309" t="s">
        <v>20</v>
      </c>
      <c r="K309" s="12">
        <v>3900</v>
      </c>
      <c r="L309" t="s">
        <v>0</v>
      </c>
      <c r="M309" s="12">
        <v>66072.240000000005</v>
      </c>
      <c r="N309" t="s">
        <v>1</v>
      </c>
      <c r="O309" s="12">
        <v>16.940000000000001</v>
      </c>
      <c r="P309" s="12">
        <v>12671.84</v>
      </c>
      <c r="Q309" s="12">
        <v>3.25</v>
      </c>
    </row>
    <row r="310" spans="1:17" x14ac:dyDescent="0.2">
      <c r="A310" t="s">
        <v>29</v>
      </c>
      <c r="B310" t="s">
        <v>30</v>
      </c>
      <c r="C310" s="5">
        <v>51056670.82</v>
      </c>
      <c r="D310" s="2">
        <v>44946</v>
      </c>
      <c r="E310" s="5">
        <f t="shared" si="8"/>
        <v>107219008.722</v>
      </c>
      <c r="F310" s="2">
        <v>44946</v>
      </c>
      <c r="G310" s="3" t="s">
        <v>326</v>
      </c>
      <c r="H310" t="s">
        <v>36</v>
      </c>
      <c r="I310" s="7">
        <v>35333</v>
      </c>
      <c r="J310" t="s">
        <v>22</v>
      </c>
      <c r="K310" s="12">
        <v>3.96</v>
      </c>
      <c r="L310" t="s">
        <v>2</v>
      </c>
      <c r="M310" s="12">
        <v>55561.03</v>
      </c>
      <c r="N310" t="s">
        <v>1</v>
      </c>
      <c r="O310" s="12">
        <v>14030.56</v>
      </c>
      <c r="P310" s="12">
        <v>10914.43</v>
      </c>
      <c r="Q310" s="12">
        <v>2756.17</v>
      </c>
    </row>
    <row r="311" spans="1:17" x14ac:dyDescent="0.2">
      <c r="A311" t="s">
        <v>29</v>
      </c>
      <c r="B311" t="s">
        <v>30</v>
      </c>
      <c r="C311" s="5">
        <v>51056671.280000001</v>
      </c>
      <c r="D311" s="2">
        <v>44943</v>
      </c>
      <c r="E311" s="5">
        <f t="shared" si="8"/>
        <v>107219009.68800001</v>
      </c>
      <c r="F311" s="2">
        <v>44946</v>
      </c>
      <c r="G311" s="3" t="s">
        <v>423</v>
      </c>
      <c r="H311" t="s">
        <v>128</v>
      </c>
      <c r="I311" s="7">
        <v>49689</v>
      </c>
      <c r="J311" t="s">
        <v>20</v>
      </c>
      <c r="K311" s="12">
        <v>12000</v>
      </c>
      <c r="L311" t="s">
        <v>0</v>
      </c>
      <c r="M311" s="12">
        <v>178000</v>
      </c>
      <c r="N311" t="s">
        <v>1</v>
      </c>
      <c r="O311" s="12">
        <v>14.83</v>
      </c>
      <c r="P311" s="12">
        <v>34138.199999999997</v>
      </c>
      <c r="Q311" s="12">
        <v>2.84</v>
      </c>
    </row>
    <row r="312" spans="1:17" x14ac:dyDescent="0.2">
      <c r="A312" t="s">
        <v>29</v>
      </c>
      <c r="B312" t="s">
        <v>30</v>
      </c>
      <c r="C312" s="5">
        <v>51056671.300000004</v>
      </c>
      <c r="D312" s="2">
        <v>44942</v>
      </c>
      <c r="E312" s="5">
        <f t="shared" si="8"/>
        <v>107219009.73000002</v>
      </c>
      <c r="F312" s="2">
        <v>44946</v>
      </c>
      <c r="G312" s="3" t="s">
        <v>482</v>
      </c>
      <c r="H312" t="s">
        <v>184</v>
      </c>
      <c r="I312" s="7">
        <v>49689</v>
      </c>
      <c r="J312" t="s">
        <v>20</v>
      </c>
      <c r="K312" s="12">
        <v>17100</v>
      </c>
      <c r="L312" t="s">
        <v>0</v>
      </c>
      <c r="M312" s="12">
        <v>223679.4</v>
      </c>
      <c r="N312" t="s">
        <v>1</v>
      </c>
      <c r="O312" s="12">
        <v>13.08</v>
      </c>
      <c r="P312" s="12">
        <v>42898.95</v>
      </c>
      <c r="Q312" s="12">
        <v>2.5099999999999998</v>
      </c>
    </row>
    <row r="313" spans="1:17" x14ac:dyDescent="0.2">
      <c r="A313" t="s">
        <v>29</v>
      </c>
      <c r="B313" t="s">
        <v>30</v>
      </c>
      <c r="C313" s="5">
        <v>51056672.420000002</v>
      </c>
      <c r="D313" s="2">
        <v>44944</v>
      </c>
      <c r="E313" s="5">
        <f t="shared" si="8"/>
        <v>107219012.082</v>
      </c>
      <c r="F313" s="2">
        <v>44946</v>
      </c>
      <c r="G313" s="3" t="s">
        <v>455</v>
      </c>
      <c r="H313" t="s">
        <v>159</v>
      </c>
      <c r="I313" s="7">
        <v>49689</v>
      </c>
      <c r="J313" t="s">
        <v>20</v>
      </c>
      <c r="K313" s="12">
        <v>2695.75</v>
      </c>
      <c r="L313" t="s">
        <v>0</v>
      </c>
      <c r="M313" s="12">
        <v>43814.02</v>
      </c>
      <c r="N313" t="s">
        <v>1</v>
      </c>
      <c r="O313" s="12">
        <v>16.25</v>
      </c>
      <c r="P313" s="12">
        <v>8605.26</v>
      </c>
      <c r="Q313" s="12">
        <v>3.19</v>
      </c>
    </row>
    <row r="314" spans="1:17" x14ac:dyDescent="0.2">
      <c r="A314" t="s">
        <v>29</v>
      </c>
      <c r="B314" t="s">
        <v>30</v>
      </c>
      <c r="C314" s="5">
        <v>51056672.450000003</v>
      </c>
      <c r="D314" s="2">
        <v>44944</v>
      </c>
      <c r="E314" s="5">
        <f t="shared" si="8"/>
        <v>107219012.14500001</v>
      </c>
      <c r="F314" s="2">
        <v>44946</v>
      </c>
      <c r="G314" s="3" t="s">
        <v>483</v>
      </c>
      <c r="H314" t="s">
        <v>185</v>
      </c>
      <c r="I314" s="7">
        <v>49689</v>
      </c>
      <c r="J314" t="s">
        <v>20</v>
      </c>
      <c r="K314" s="12">
        <v>5890</v>
      </c>
      <c r="L314" t="s">
        <v>0</v>
      </c>
      <c r="M314" s="12">
        <v>94724.4</v>
      </c>
      <c r="N314" t="s">
        <v>1</v>
      </c>
      <c r="O314" s="12">
        <v>16.079999999999998</v>
      </c>
      <c r="P314" s="12">
        <v>18166.97</v>
      </c>
      <c r="Q314" s="12">
        <v>3.08</v>
      </c>
    </row>
    <row r="315" spans="1:17" x14ac:dyDescent="0.2">
      <c r="A315" t="s">
        <v>29</v>
      </c>
      <c r="B315" t="s">
        <v>30</v>
      </c>
      <c r="C315" s="5">
        <v>51056672.469999999</v>
      </c>
      <c r="D315" s="2">
        <v>44945</v>
      </c>
      <c r="E315" s="5">
        <f t="shared" si="8"/>
        <v>107219012.18700001</v>
      </c>
      <c r="F315" s="2">
        <v>44946</v>
      </c>
      <c r="G315" s="3" t="s">
        <v>355</v>
      </c>
      <c r="H315" t="s">
        <v>64</v>
      </c>
      <c r="I315" s="7">
        <v>49689</v>
      </c>
      <c r="J315" t="s">
        <v>20</v>
      </c>
      <c r="K315" s="12">
        <v>9000</v>
      </c>
      <c r="L315" t="s">
        <v>0</v>
      </c>
      <c r="M315" s="12">
        <v>156282</v>
      </c>
      <c r="N315" t="s">
        <v>1</v>
      </c>
      <c r="O315" s="12">
        <v>17.36</v>
      </c>
      <c r="P315" s="12">
        <v>29972.959999999999</v>
      </c>
      <c r="Q315" s="12">
        <v>3.33</v>
      </c>
    </row>
    <row r="316" spans="1:17" x14ac:dyDescent="0.2">
      <c r="A316" t="s">
        <v>29</v>
      </c>
      <c r="B316" t="s">
        <v>30</v>
      </c>
      <c r="C316" s="5">
        <v>51056672.82</v>
      </c>
      <c r="D316" s="2">
        <v>44946</v>
      </c>
      <c r="E316" s="5">
        <f t="shared" si="8"/>
        <v>107219012.92200001</v>
      </c>
      <c r="F316" s="2">
        <v>44946</v>
      </c>
      <c r="G316" s="3" t="s">
        <v>363</v>
      </c>
      <c r="H316" t="s">
        <v>72</v>
      </c>
      <c r="I316" s="7">
        <v>35334</v>
      </c>
      <c r="J316" t="s">
        <v>24</v>
      </c>
      <c r="K316" s="12">
        <v>6</v>
      </c>
      <c r="L316" t="s">
        <v>2</v>
      </c>
      <c r="M316" s="12">
        <v>87086.25</v>
      </c>
      <c r="N316" t="s">
        <v>1</v>
      </c>
      <c r="O316" s="12">
        <v>14514.38</v>
      </c>
      <c r="P316" s="12">
        <v>11405.4</v>
      </c>
      <c r="Q316" s="12">
        <v>1900.9</v>
      </c>
    </row>
    <row r="317" spans="1:17" x14ac:dyDescent="0.2">
      <c r="A317" t="s">
        <v>29</v>
      </c>
      <c r="B317" t="s">
        <v>30</v>
      </c>
      <c r="C317" s="5">
        <v>51056672.910000004</v>
      </c>
      <c r="D317" s="2">
        <v>44944</v>
      </c>
      <c r="E317" s="5">
        <f t="shared" si="8"/>
        <v>107219013.11100002</v>
      </c>
      <c r="F317" s="2">
        <v>44946</v>
      </c>
      <c r="G317" s="3" t="s">
        <v>483</v>
      </c>
      <c r="H317" t="s">
        <v>185</v>
      </c>
      <c r="I317" s="7">
        <v>49689</v>
      </c>
      <c r="J317" t="s">
        <v>20</v>
      </c>
      <c r="K317" s="12">
        <v>6530</v>
      </c>
      <c r="L317" t="s">
        <v>0</v>
      </c>
      <c r="M317" s="12">
        <v>110462.45</v>
      </c>
      <c r="N317" t="s">
        <v>1</v>
      </c>
      <c r="O317" s="12">
        <v>16.920000000000002</v>
      </c>
      <c r="P317" s="12">
        <v>21185.33</v>
      </c>
      <c r="Q317" s="12">
        <v>3.24</v>
      </c>
    </row>
    <row r="318" spans="1:17" x14ac:dyDescent="0.2">
      <c r="A318" t="s">
        <v>29</v>
      </c>
      <c r="B318" t="s">
        <v>30</v>
      </c>
      <c r="C318" s="5">
        <v>51056673.600000001</v>
      </c>
      <c r="D318" s="2">
        <v>44945</v>
      </c>
      <c r="E318" s="5">
        <f t="shared" si="8"/>
        <v>107219014.56</v>
      </c>
      <c r="F318" s="2">
        <v>44946</v>
      </c>
      <c r="G318" s="3" t="s">
        <v>330</v>
      </c>
      <c r="H318" t="s">
        <v>40</v>
      </c>
      <c r="I318" s="7">
        <v>49689</v>
      </c>
      <c r="J318" t="s">
        <v>20</v>
      </c>
      <c r="K318" s="12">
        <v>24882</v>
      </c>
      <c r="L318" t="s">
        <v>0</v>
      </c>
      <c r="M318" s="12">
        <v>375303.5</v>
      </c>
      <c r="N318" t="s">
        <v>1</v>
      </c>
      <c r="O318" s="12">
        <v>15.08</v>
      </c>
      <c r="P318" s="12">
        <v>71978.58</v>
      </c>
      <c r="Q318" s="12">
        <v>2.89</v>
      </c>
    </row>
    <row r="319" spans="1:17" x14ac:dyDescent="0.2">
      <c r="A319" t="s">
        <v>29</v>
      </c>
      <c r="B319" t="s">
        <v>30</v>
      </c>
      <c r="C319" s="5">
        <v>51056675.490000002</v>
      </c>
      <c r="D319" s="2">
        <v>44946</v>
      </c>
      <c r="E319" s="5">
        <f t="shared" si="8"/>
        <v>107219018.52900001</v>
      </c>
      <c r="F319" s="2">
        <v>44946</v>
      </c>
      <c r="G319" s="3" t="s">
        <v>367</v>
      </c>
      <c r="H319" t="s">
        <v>76</v>
      </c>
      <c r="I319" s="7">
        <v>35334</v>
      </c>
      <c r="J319" t="s">
        <v>24</v>
      </c>
      <c r="K319" s="12">
        <v>15</v>
      </c>
      <c r="L319" t="s">
        <v>2</v>
      </c>
      <c r="M319" s="12">
        <v>208039.38</v>
      </c>
      <c r="N319" t="s">
        <v>1</v>
      </c>
      <c r="O319" s="12">
        <v>13869.29</v>
      </c>
      <c r="P319" s="12">
        <v>28555.38</v>
      </c>
      <c r="Q319" s="12">
        <v>1903.69</v>
      </c>
    </row>
    <row r="320" spans="1:17" x14ac:dyDescent="0.2">
      <c r="A320" t="s">
        <v>29</v>
      </c>
      <c r="B320" t="s">
        <v>30</v>
      </c>
      <c r="C320" s="5">
        <v>51056675.980000004</v>
      </c>
      <c r="D320" s="2">
        <v>44945</v>
      </c>
      <c r="E320" s="5">
        <f t="shared" si="8"/>
        <v>107219019.55800001</v>
      </c>
      <c r="F320" s="2">
        <v>44946</v>
      </c>
      <c r="G320" s="3" t="s">
        <v>323</v>
      </c>
      <c r="H320" t="s">
        <v>33</v>
      </c>
      <c r="I320" s="7">
        <v>49689</v>
      </c>
      <c r="J320" t="s">
        <v>20</v>
      </c>
      <c r="K320" s="12">
        <v>3300</v>
      </c>
      <c r="L320" t="s">
        <v>0</v>
      </c>
      <c r="M320" s="12">
        <v>56238.05</v>
      </c>
      <c r="N320" t="s">
        <v>1</v>
      </c>
      <c r="O320" s="12">
        <v>17.04</v>
      </c>
      <c r="P320" s="12">
        <v>10785.76</v>
      </c>
      <c r="Q320" s="12">
        <v>3.27</v>
      </c>
    </row>
    <row r="321" spans="1:17" x14ac:dyDescent="0.2">
      <c r="A321" t="s">
        <v>29</v>
      </c>
      <c r="B321" t="s">
        <v>30</v>
      </c>
      <c r="C321" s="5">
        <v>51056676.710000001</v>
      </c>
      <c r="D321" s="2">
        <v>44945</v>
      </c>
      <c r="E321" s="5">
        <f t="shared" si="8"/>
        <v>107219021.09100001</v>
      </c>
      <c r="F321" s="2">
        <v>44946</v>
      </c>
      <c r="G321" s="3" t="s">
        <v>484</v>
      </c>
      <c r="H321" t="s">
        <v>186</v>
      </c>
      <c r="I321" s="7">
        <v>49689</v>
      </c>
      <c r="J321" t="s">
        <v>20</v>
      </c>
      <c r="K321" s="12">
        <v>1830</v>
      </c>
      <c r="L321" t="s">
        <v>0</v>
      </c>
      <c r="M321" s="12">
        <v>31077.599999999999</v>
      </c>
      <c r="N321" t="s">
        <v>1</v>
      </c>
      <c r="O321" s="12">
        <v>16.98</v>
      </c>
      <c r="P321" s="12">
        <v>5960.3</v>
      </c>
      <c r="Q321" s="12">
        <v>3.26</v>
      </c>
    </row>
    <row r="322" spans="1:17" x14ac:dyDescent="0.2">
      <c r="A322" t="s">
        <v>29</v>
      </c>
      <c r="B322" t="s">
        <v>30</v>
      </c>
      <c r="C322" s="5">
        <v>51056676.740000002</v>
      </c>
      <c r="D322" s="2">
        <v>44944</v>
      </c>
      <c r="E322" s="5">
        <f t="shared" si="8"/>
        <v>107219021.15400001</v>
      </c>
      <c r="F322" s="2">
        <v>44946</v>
      </c>
      <c r="G322" s="3" t="s">
        <v>446</v>
      </c>
      <c r="H322" t="s">
        <v>150</v>
      </c>
      <c r="I322" s="7">
        <v>49689</v>
      </c>
      <c r="J322" t="s">
        <v>20</v>
      </c>
      <c r="K322" s="12">
        <v>2820</v>
      </c>
      <c r="L322" t="s">
        <v>0</v>
      </c>
      <c r="M322" s="12">
        <v>48011.91</v>
      </c>
      <c r="N322" t="s">
        <v>1</v>
      </c>
      <c r="O322" s="12">
        <v>17.03</v>
      </c>
      <c r="P322" s="12">
        <v>9208.09</v>
      </c>
      <c r="Q322" s="12">
        <v>3.27</v>
      </c>
    </row>
    <row r="323" spans="1:17" x14ac:dyDescent="0.2">
      <c r="A323" t="s">
        <v>29</v>
      </c>
      <c r="B323" t="s">
        <v>30</v>
      </c>
      <c r="C323" s="5">
        <v>51056677.25</v>
      </c>
      <c r="D323" s="2">
        <v>44945</v>
      </c>
      <c r="E323" s="5">
        <f t="shared" si="8"/>
        <v>107219022.22500001</v>
      </c>
      <c r="F323" s="2">
        <v>44946</v>
      </c>
      <c r="G323" s="3" t="s">
        <v>365</v>
      </c>
      <c r="H323" t="s">
        <v>74</v>
      </c>
      <c r="I323" s="7">
        <v>35334</v>
      </c>
      <c r="J323" t="s">
        <v>24</v>
      </c>
      <c r="K323" s="12">
        <v>18</v>
      </c>
      <c r="L323" t="s">
        <v>2</v>
      </c>
      <c r="M323" s="12">
        <v>255511.06</v>
      </c>
      <c r="N323" t="s">
        <v>1</v>
      </c>
      <c r="O323" s="12">
        <v>14195.06</v>
      </c>
      <c r="P323" s="12">
        <v>50173.120000000003</v>
      </c>
      <c r="Q323" s="12">
        <v>2787.4</v>
      </c>
    </row>
    <row r="324" spans="1:17" x14ac:dyDescent="0.2">
      <c r="A324" t="s">
        <v>29</v>
      </c>
      <c r="B324" t="s">
        <v>30</v>
      </c>
      <c r="C324" s="5">
        <v>51056677.280000001</v>
      </c>
      <c r="D324" s="2">
        <v>44945</v>
      </c>
      <c r="E324" s="5">
        <f t="shared" si="8"/>
        <v>107219022.288</v>
      </c>
      <c r="F324" s="2">
        <v>44946</v>
      </c>
      <c r="G324" s="3" t="s">
        <v>347</v>
      </c>
      <c r="H324" t="s">
        <v>57</v>
      </c>
      <c r="I324" s="7">
        <v>35334</v>
      </c>
      <c r="J324" t="s">
        <v>24</v>
      </c>
      <c r="K324" s="12">
        <v>3</v>
      </c>
      <c r="L324" t="s">
        <v>2</v>
      </c>
      <c r="M324" s="12">
        <v>41598.199999999997</v>
      </c>
      <c r="N324" t="s">
        <v>1</v>
      </c>
      <c r="O324" s="12">
        <v>13866.07</v>
      </c>
      <c r="P324" s="12">
        <v>7979.85</v>
      </c>
      <c r="Q324" s="12">
        <v>2659.95</v>
      </c>
    </row>
    <row r="325" spans="1:17" x14ac:dyDescent="0.2">
      <c r="A325" t="s">
        <v>29</v>
      </c>
      <c r="B325" t="s">
        <v>30</v>
      </c>
      <c r="C325" s="5">
        <v>51056678.050000004</v>
      </c>
      <c r="D325" s="2">
        <v>44945</v>
      </c>
      <c r="E325" s="5">
        <f t="shared" si="8"/>
        <v>107219023.90500002</v>
      </c>
      <c r="F325" s="2">
        <v>44946</v>
      </c>
      <c r="G325" s="3" t="s">
        <v>430</v>
      </c>
      <c r="H325" t="s">
        <v>135</v>
      </c>
      <c r="I325" s="7">
        <v>49689</v>
      </c>
      <c r="J325" t="s">
        <v>20</v>
      </c>
      <c r="K325" s="12">
        <v>18000</v>
      </c>
      <c r="L325" t="s">
        <v>0</v>
      </c>
      <c r="M325" s="12">
        <v>310169.99</v>
      </c>
      <c r="N325" t="s">
        <v>1</v>
      </c>
      <c r="O325" s="12">
        <v>17.23</v>
      </c>
      <c r="P325" s="12">
        <v>59486.77</v>
      </c>
      <c r="Q325" s="12">
        <v>3.3</v>
      </c>
    </row>
    <row r="326" spans="1:17" x14ac:dyDescent="0.2">
      <c r="A326" t="s">
        <v>29</v>
      </c>
      <c r="B326" t="s">
        <v>30</v>
      </c>
      <c r="C326" s="5">
        <v>51056678.109999999</v>
      </c>
      <c r="D326" s="2">
        <v>44945</v>
      </c>
      <c r="E326" s="5">
        <f t="shared" si="8"/>
        <v>107219024.031</v>
      </c>
      <c r="F326" s="2">
        <v>44946</v>
      </c>
      <c r="G326" s="3" t="s">
        <v>484</v>
      </c>
      <c r="H326" t="s">
        <v>186</v>
      </c>
      <c r="I326" s="7">
        <v>49689</v>
      </c>
      <c r="J326" t="s">
        <v>20</v>
      </c>
      <c r="K326" s="12">
        <v>1850</v>
      </c>
      <c r="L326" t="s">
        <v>0</v>
      </c>
      <c r="M326" s="12">
        <v>31417.25</v>
      </c>
      <c r="N326" t="s">
        <v>1</v>
      </c>
      <c r="O326" s="12">
        <v>16.98</v>
      </c>
      <c r="P326" s="12">
        <v>6025.44</v>
      </c>
      <c r="Q326" s="12">
        <v>3.26</v>
      </c>
    </row>
    <row r="327" spans="1:17" x14ac:dyDescent="0.2">
      <c r="A327" t="s">
        <v>29</v>
      </c>
      <c r="B327" t="s">
        <v>30</v>
      </c>
      <c r="C327" s="5">
        <v>51056678.870000005</v>
      </c>
      <c r="D327" s="2">
        <v>44944</v>
      </c>
      <c r="E327" s="5">
        <f t="shared" si="8"/>
        <v>107219025.62700002</v>
      </c>
      <c r="F327" s="2">
        <v>44946</v>
      </c>
      <c r="G327" s="3" t="s">
        <v>485</v>
      </c>
      <c r="H327" t="s">
        <v>187</v>
      </c>
      <c r="I327" s="7">
        <v>49689</v>
      </c>
      <c r="J327" t="s">
        <v>20</v>
      </c>
      <c r="K327" s="12">
        <v>2213</v>
      </c>
      <c r="L327" t="s">
        <v>0</v>
      </c>
      <c r="M327" s="12">
        <v>37077.93</v>
      </c>
      <c r="N327" t="s">
        <v>1</v>
      </c>
      <c r="O327" s="12">
        <v>16.75</v>
      </c>
      <c r="P327" s="12">
        <v>7111.09</v>
      </c>
      <c r="Q327" s="12">
        <v>3.21</v>
      </c>
    </row>
    <row r="328" spans="1:17" x14ac:dyDescent="0.2">
      <c r="A328" t="s">
        <v>29</v>
      </c>
      <c r="B328" t="s">
        <v>30</v>
      </c>
      <c r="C328" s="5">
        <v>51056679.109999999</v>
      </c>
      <c r="D328" s="2">
        <v>44945</v>
      </c>
      <c r="E328" s="5">
        <f t="shared" si="8"/>
        <v>107219026.131</v>
      </c>
      <c r="F328" s="2">
        <v>44946</v>
      </c>
      <c r="G328" s="3" t="s">
        <v>486</v>
      </c>
      <c r="H328" t="s">
        <v>188</v>
      </c>
      <c r="I328" s="7">
        <v>49689</v>
      </c>
      <c r="J328" t="s">
        <v>20</v>
      </c>
      <c r="K328" s="12">
        <v>28260</v>
      </c>
      <c r="L328" t="s">
        <v>0</v>
      </c>
      <c r="M328" s="12">
        <v>409397.91</v>
      </c>
      <c r="N328" t="s">
        <v>1</v>
      </c>
      <c r="O328" s="12">
        <v>14.49</v>
      </c>
      <c r="P328" s="12">
        <v>78517.460000000006</v>
      </c>
      <c r="Q328" s="12">
        <v>2.78</v>
      </c>
    </row>
    <row r="329" spans="1:17" x14ac:dyDescent="0.2">
      <c r="A329" t="s">
        <v>29</v>
      </c>
      <c r="B329" t="s">
        <v>30</v>
      </c>
      <c r="C329" s="5">
        <v>51056679.120000005</v>
      </c>
      <c r="D329" s="2">
        <v>44945</v>
      </c>
      <c r="E329" s="5">
        <f t="shared" si="8"/>
        <v>107219026.15200001</v>
      </c>
      <c r="F329" s="2">
        <v>44946</v>
      </c>
      <c r="G329" s="3" t="s">
        <v>484</v>
      </c>
      <c r="H329" t="s">
        <v>186</v>
      </c>
      <c r="I329" s="7">
        <v>49689</v>
      </c>
      <c r="J329" t="s">
        <v>20</v>
      </c>
      <c r="K329" s="12">
        <v>1869</v>
      </c>
      <c r="L329" t="s">
        <v>0</v>
      </c>
      <c r="M329" s="12">
        <v>31739.91</v>
      </c>
      <c r="N329" t="s">
        <v>1</v>
      </c>
      <c r="O329" s="12">
        <v>16.98</v>
      </c>
      <c r="P329" s="12">
        <v>6087.32</v>
      </c>
      <c r="Q329" s="12">
        <v>3.26</v>
      </c>
    </row>
    <row r="330" spans="1:17" x14ac:dyDescent="0.2">
      <c r="A330" t="s">
        <v>29</v>
      </c>
      <c r="B330" t="s">
        <v>30</v>
      </c>
      <c r="C330" s="5">
        <v>51056679.189999998</v>
      </c>
      <c r="D330" s="2">
        <v>44945</v>
      </c>
      <c r="E330" s="5">
        <f t="shared" si="8"/>
        <v>107219026.29899999</v>
      </c>
      <c r="F330" s="2">
        <v>44946</v>
      </c>
      <c r="G330" s="3" t="s">
        <v>323</v>
      </c>
      <c r="H330" t="s">
        <v>33</v>
      </c>
      <c r="I330" s="7">
        <v>49689</v>
      </c>
      <c r="J330" t="s">
        <v>20</v>
      </c>
      <c r="K330" s="12">
        <v>3300</v>
      </c>
      <c r="L330" t="s">
        <v>0</v>
      </c>
      <c r="M330" s="12">
        <v>57306.7</v>
      </c>
      <c r="N330" t="s">
        <v>1</v>
      </c>
      <c r="O330" s="12">
        <v>17.37</v>
      </c>
      <c r="P330" s="12">
        <v>10990.72</v>
      </c>
      <c r="Q330" s="12">
        <v>3.33</v>
      </c>
    </row>
    <row r="331" spans="1:17" x14ac:dyDescent="0.2">
      <c r="A331" t="s">
        <v>29</v>
      </c>
      <c r="B331" t="s">
        <v>30</v>
      </c>
      <c r="C331" s="5">
        <v>51056679.380000003</v>
      </c>
      <c r="D331" s="2">
        <v>44944</v>
      </c>
      <c r="E331" s="5">
        <f t="shared" si="8"/>
        <v>107219026.69800001</v>
      </c>
      <c r="F331" s="2">
        <v>44946</v>
      </c>
      <c r="G331" s="3" t="s">
        <v>487</v>
      </c>
      <c r="H331" t="s">
        <v>189</v>
      </c>
      <c r="I331" s="7">
        <v>49689</v>
      </c>
      <c r="J331" t="s">
        <v>20</v>
      </c>
      <c r="K331" s="12">
        <v>2000</v>
      </c>
      <c r="L331" t="s">
        <v>0</v>
      </c>
      <c r="M331" s="12">
        <v>33951.199999999997</v>
      </c>
      <c r="N331" t="s">
        <v>1</v>
      </c>
      <c r="O331" s="12">
        <v>16.98</v>
      </c>
      <c r="P331" s="12">
        <v>6511.42</v>
      </c>
      <c r="Q331" s="12">
        <v>3.26</v>
      </c>
    </row>
    <row r="332" spans="1:17" x14ac:dyDescent="0.2">
      <c r="A332" t="s">
        <v>29</v>
      </c>
      <c r="B332" t="s">
        <v>30</v>
      </c>
      <c r="C332" s="5">
        <v>51056680.039999999</v>
      </c>
      <c r="D332" s="2">
        <v>44945</v>
      </c>
      <c r="E332" s="5">
        <f t="shared" si="8"/>
        <v>107219028.08400001</v>
      </c>
      <c r="F332" s="2">
        <v>44946</v>
      </c>
      <c r="G332" s="3" t="s">
        <v>323</v>
      </c>
      <c r="H332" t="s">
        <v>33</v>
      </c>
      <c r="I332" s="7">
        <v>49689</v>
      </c>
      <c r="J332" t="s">
        <v>20</v>
      </c>
      <c r="K332" s="12">
        <v>2700</v>
      </c>
      <c r="L332" t="s">
        <v>0</v>
      </c>
      <c r="M332" s="12">
        <v>46999.8</v>
      </c>
      <c r="N332" t="s">
        <v>1</v>
      </c>
      <c r="O332" s="12">
        <v>17.41</v>
      </c>
      <c r="P332" s="12">
        <v>9013.98</v>
      </c>
      <c r="Q332" s="12">
        <v>3.34</v>
      </c>
    </row>
    <row r="333" spans="1:17" x14ac:dyDescent="0.2">
      <c r="A333" t="s">
        <v>29</v>
      </c>
      <c r="B333" t="s">
        <v>30</v>
      </c>
      <c r="C333" s="5">
        <v>51056684.810000002</v>
      </c>
      <c r="D333" s="2">
        <v>44945</v>
      </c>
      <c r="E333" s="5">
        <f t="shared" si="8"/>
        <v>107219038.10100001</v>
      </c>
      <c r="F333" s="2">
        <v>44946</v>
      </c>
      <c r="G333" s="3" t="s">
        <v>488</v>
      </c>
      <c r="H333" t="s">
        <v>190</v>
      </c>
      <c r="I333" s="7">
        <v>35334</v>
      </c>
      <c r="J333" t="s">
        <v>24</v>
      </c>
      <c r="K333" s="12">
        <v>1.98</v>
      </c>
      <c r="L333" t="s">
        <v>2</v>
      </c>
      <c r="M333" s="12">
        <v>27461.200000000001</v>
      </c>
      <c r="N333" t="s">
        <v>1</v>
      </c>
      <c r="O333" s="12">
        <v>13869.29</v>
      </c>
      <c r="P333" s="12">
        <v>5394.49</v>
      </c>
      <c r="Q333" s="12">
        <v>2724.49</v>
      </c>
    </row>
    <row r="334" spans="1:17" x14ac:dyDescent="0.2">
      <c r="A334" t="s">
        <v>29</v>
      </c>
      <c r="B334" t="s">
        <v>30</v>
      </c>
      <c r="C334" s="5">
        <v>51056685.270000003</v>
      </c>
      <c r="D334" s="2">
        <v>44945</v>
      </c>
      <c r="E334" s="5">
        <f t="shared" si="8"/>
        <v>107219039.06700002</v>
      </c>
      <c r="F334" s="2">
        <v>44946</v>
      </c>
      <c r="G334" s="3" t="s">
        <v>489</v>
      </c>
      <c r="H334" t="s">
        <v>191</v>
      </c>
      <c r="I334" s="7">
        <v>49689</v>
      </c>
      <c r="J334" t="s">
        <v>20</v>
      </c>
      <c r="K334" s="12">
        <v>1920</v>
      </c>
      <c r="L334" t="s">
        <v>0</v>
      </c>
      <c r="M334" s="12">
        <v>32606.01</v>
      </c>
      <c r="N334" t="s">
        <v>1</v>
      </c>
      <c r="O334" s="12">
        <v>16.98</v>
      </c>
      <c r="P334" s="12">
        <v>6253.43</v>
      </c>
      <c r="Q334" s="12">
        <v>3.26</v>
      </c>
    </row>
    <row r="335" spans="1:17" x14ac:dyDescent="0.2">
      <c r="A335" t="s">
        <v>29</v>
      </c>
      <c r="B335" t="s">
        <v>30</v>
      </c>
      <c r="C335" s="5">
        <v>51056690.450000003</v>
      </c>
      <c r="D335" s="2">
        <v>44944</v>
      </c>
      <c r="E335" s="5">
        <f t="shared" si="8"/>
        <v>107219049.94500001</v>
      </c>
      <c r="F335" s="2">
        <v>44946</v>
      </c>
      <c r="G335" s="3" t="s">
        <v>489</v>
      </c>
      <c r="H335" t="s">
        <v>191</v>
      </c>
      <c r="I335" s="7">
        <v>49689</v>
      </c>
      <c r="J335" t="s">
        <v>20</v>
      </c>
      <c r="K335" s="12">
        <v>4336</v>
      </c>
      <c r="L335" t="s">
        <v>0</v>
      </c>
      <c r="M335" s="12">
        <v>68997.899999999994</v>
      </c>
      <c r="N335" t="s">
        <v>1</v>
      </c>
      <c r="O335" s="12">
        <v>15.91</v>
      </c>
      <c r="P335" s="12">
        <v>13232.95</v>
      </c>
      <c r="Q335" s="12">
        <v>3.05</v>
      </c>
    </row>
    <row r="336" spans="1:17" x14ac:dyDescent="0.2">
      <c r="A336" t="s">
        <v>29</v>
      </c>
      <c r="B336" t="s">
        <v>30</v>
      </c>
      <c r="C336" s="5">
        <v>51056691.140000001</v>
      </c>
      <c r="D336" s="2">
        <v>44945</v>
      </c>
      <c r="E336" s="5">
        <f t="shared" si="8"/>
        <v>107219051.39400001</v>
      </c>
      <c r="F336" s="2">
        <v>44946</v>
      </c>
      <c r="G336" s="3" t="s">
        <v>457</v>
      </c>
      <c r="H336" t="s">
        <v>161</v>
      </c>
      <c r="I336" s="7">
        <v>49689</v>
      </c>
      <c r="J336" t="s">
        <v>20</v>
      </c>
      <c r="K336" s="12">
        <v>15600</v>
      </c>
      <c r="L336" t="s">
        <v>0</v>
      </c>
      <c r="M336" s="12">
        <v>226304</v>
      </c>
      <c r="N336" t="s">
        <v>1</v>
      </c>
      <c r="O336" s="12">
        <v>14.51</v>
      </c>
      <c r="P336" s="12">
        <v>43402.31</v>
      </c>
      <c r="Q336" s="12">
        <v>2.78</v>
      </c>
    </row>
    <row r="337" spans="1:17" x14ac:dyDescent="0.2">
      <c r="A337" t="s">
        <v>29</v>
      </c>
      <c r="B337" t="s">
        <v>30</v>
      </c>
      <c r="C337" s="5">
        <v>51056691.170000002</v>
      </c>
      <c r="D337" s="2">
        <v>44943</v>
      </c>
      <c r="E337" s="5">
        <f t="shared" si="8"/>
        <v>107219051.457</v>
      </c>
      <c r="F337" s="2">
        <v>44946</v>
      </c>
      <c r="G337" s="3" t="s">
        <v>490</v>
      </c>
      <c r="H337" t="s">
        <v>192</v>
      </c>
      <c r="I337" s="7">
        <v>49689</v>
      </c>
      <c r="J337" t="s">
        <v>20</v>
      </c>
      <c r="K337" s="12">
        <v>3920</v>
      </c>
      <c r="L337" t="s">
        <v>0</v>
      </c>
      <c r="M337" s="12">
        <v>65333.35</v>
      </c>
      <c r="N337" t="s">
        <v>1</v>
      </c>
      <c r="O337" s="12">
        <v>16.670000000000002</v>
      </c>
      <c r="P337" s="12">
        <v>12530.13</v>
      </c>
      <c r="Q337" s="12">
        <v>3.2</v>
      </c>
    </row>
    <row r="338" spans="1:17" x14ac:dyDescent="0.2">
      <c r="A338" t="s">
        <v>29</v>
      </c>
      <c r="B338" t="s">
        <v>30</v>
      </c>
      <c r="C338" s="5">
        <v>51056691.18</v>
      </c>
      <c r="D338" s="2">
        <v>44945</v>
      </c>
      <c r="E338" s="5">
        <f t="shared" si="8"/>
        <v>107219051.478</v>
      </c>
      <c r="F338" s="2">
        <v>44946</v>
      </c>
      <c r="G338" s="3" t="s">
        <v>486</v>
      </c>
      <c r="H338" t="s">
        <v>188</v>
      </c>
      <c r="I338" s="7">
        <v>49689</v>
      </c>
      <c r="J338" t="s">
        <v>20</v>
      </c>
      <c r="K338" s="12">
        <v>27960</v>
      </c>
      <c r="L338" t="s">
        <v>0</v>
      </c>
      <c r="M338" s="12">
        <v>397213.74</v>
      </c>
      <c r="N338" t="s">
        <v>1</v>
      </c>
      <c r="O338" s="12">
        <v>14.21</v>
      </c>
      <c r="P338" s="12">
        <v>76180.69</v>
      </c>
      <c r="Q338" s="12">
        <v>2.72</v>
      </c>
    </row>
    <row r="339" spans="1:17" x14ac:dyDescent="0.2">
      <c r="A339" t="s">
        <v>29</v>
      </c>
      <c r="B339" t="s">
        <v>30</v>
      </c>
      <c r="C339" s="5">
        <v>51056691.410000004</v>
      </c>
      <c r="D339" s="2">
        <v>44944</v>
      </c>
      <c r="E339" s="5">
        <f t="shared" si="8"/>
        <v>107219051.96100001</v>
      </c>
      <c r="F339" s="2">
        <v>44946</v>
      </c>
      <c r="G339" s="3" t="s">
        <v>484</v>
      </c>
      <c r="H339" t="s">
        <v>186</v>
      </c>
      <c r="I339" s="7">
        <v>49689</v>
      </c>
      <c r="J339" t="s">
        <v>20</v>
      </c>
      <c r="K339" s="12">
        <v>5060</v>
      </c>
      <c r="L339" t="s">
        <v>0</v>
      </c>
      <c r="M339" s="12">
        <v>80518.77</v>
      </c>
      <c r="N339" t="s">
        <v>1</v>
      </c>
      <c r="O339" s="12">
        <v>15.91</v>
      </c>
      <c r="P339" s="12">
        <v>15442.51</v>
      </c>
      <c r="Q339" s="12">
        <v>3.05</v>
      </c>
    </row>
    <row r="340" spans="1:17" x14ac:dyDescent="0.2">
      <c r="A340" t="s">
        <v>29</v>
      </c>
      <c r="B340" t="s">
        <v>30</v>
      </c>
      <c r="C340" s="5">
        <v>51056691.43</v>
      </c>
      <c r="D340" s="2">
        <v>44945</v>
      </c>
      <c r="E340" s="5">
        <f t="shared" si="8"/>
        <v>107219052.00300001</v>
      </c>
      <c r="F340" s="2">
        <v>44946</v>
      </c>
      <c r="G340" s="3" t="s">
        <v>364</v>
      </c>
      <c r="H340" t="s">
        <v>73</v>
      </c>
      <c r="I340" s="7">
        <v>49689</v>
      </c>
      <c r="J340" t="s">
        <v>20</v>
      </c>
      <c r="K340" s="12">
        <v>15000</v>
      </c>
      <c r="L340" t="s">
        <v>0</v>
      </c>
      <c r="M340" s="12">
        <v>254995</v>
      </c>
      <c r="N340" t="s">
        <v>1</v>
      </c>
      <c r="O340" s="12">
        <v>17</v>
      </c>
      <c r="P340" s="12">
        <v>48905.85</v>
      </c>
      <c r="Q340" s="12">
        <v>3.26</v>
      </c>
    </row>
    <row r="341" spans="1:17" x14ac:dyDescent="0.2">
      <c r="A341" t="s">
        <v>29</v>
      </c>
      <c r="B341" t="s">
        <v>30</v>
      </c>
      <c r="C341" s="5">
        <v>51056691.450000003</v>
      </c>
      <c r="D341" s="2">
        <v>44945</v>
      </c>
      <c r="E341" s="5">
        <f t="shared" si="8"/>
        <v>107219052.04500002</v>
      </c>
      <c r="F341" s="2">
        <v>44946</v>
      </c>
      <c r="G341" s="3" t="s">
        <v>484</v>
      </c>
      <c r="H341" t="s">
        <v>186</v>
      </c>
      <c r="I341" s="7">
        <v>49689</v>
      </c>
      <c r="J341" t="s">
        <v>20</v>
      </c>
      <c r="K341" s="12">
        <v>4140</v>
      </c>
      <c r="L341" t="s">
        <v>0</v>
      </c>
      <c r="M341" s="12">
        <v>70306.720000000001</v>
      </c>
      <c r="N341" t="s">
        <v>1</v>
      </c>
      <c r="O341" s="12">
        <v>16.98</v>
      </c>
      <c r="P341" s="12">
        <v>13483.96</v>
      </c>
      <c r="Q341" s="12">
        <v>3.26</v>
      </c>
    </row>
    <row r="342" spans="1:17" x14ac:dyDescent="0.2">
      <c r="A342" t="s">
        <v>29</v>
      </c>
      <c r="B342" t="s">
        <v>30</v>
      </c>
      <c r="C342" s="5">
        <v>51056691.469999999</v>
      </c>
      <c r="D342" s="2">
        <v>44945</v>
      </c>
      <c r="E342" s="5">
        <f t="shared" si="8"/>
        <v>107219052.087</v>
      </c>
      <c r="F342" s="2">
        <v>44946</v>
      </c>
      <c r="G342" s="3" t="s">
        <v>484</v>
      </c>
      <c r="H342" t="s">
        <v>186</v>
      </c>
      <c r="I342" s="7">
        <v>49689</v>
      </c>
      <c r="J342" t="s">
        <v>20</v>
      </c>
      <c r="K342" s="12">
        <v>10200</v>
      </c>
      <c r="L342" t="s">
        <v>0</v>
      </c>
      <c r="M342" s="12">
        <v>173219.46</v>
      </c>
      <c r="N342" t="s">
        <v>1</v>
      </c>
      <c r="O342" s="12">
        <v>16.98</v>
      </c>
      <c r="P342" s="12">
        <v>33221.35</v>
      </c>
      <c r="Q342" s="12">
        <v>3.26</v>
      </c>
    </row>
    <row r="343" spans="1:17" x14ac:dyDescent="0.2">
      <c r="A343" t="s">
        <v>29</v>
      </c>
      <c r="B343" t="s">
        <v>30</v>
      </c>
      <c r="C343" s="5">
        <v>51056692.710000001</v>
      </c>
      <c r="D343" s="2">
        <v>44945</v>
      </c>
      <c r="E343" s="5">
        <f t="shared" si="8"/>
        <v>107219054.691</v>
      </c>
      <c r="F343" s="2">
        <v>44946</v>
      </c>
      <c r="G343" s="3" t="s">
        <v>489</v>
      </c>
      <c r="H343" t="s">
        <v>191</v>
      </c>
      <c r="I343" s="7">
        <v>49689</v>
      </c>
      <c r="J343" t="s">
        <v>20</v>
      </c>
      <c r="K343" s="12">
        <v>2520</v>
      </c>
      <c r="L343" t="s">
        <v>0</v>
      </c>
      <c r="M343" s="12">
        <v>42795.39</v>
      </c>
      <c r="N343" t="s">
        <v>1</v>
      </c>
      <c r="O343" s="12">
        <v>16.98</v>
      </c>
      <c r="P343" s="12">
        <v>8207.6299999999992</v>
      </c>
      <c r="Q343" s="12">
        <v>3.26</v>
      </c>
    </row>
    <row r="344" spans="1:17" x14ac:dyDescent="0.2">
      <c r="A344" t="s">
        <v>29</v>
      </c>
      <c r="B344" t="s">
        <v>30</v>
      </c>
      <c r="C344" s="5">
        <v>51056692.920000002</v>
      </c>
      <c r="D344" s="2">
        <v>44946</v>
      </c>
      <c r="E344" s="5">
        <f t="shared" si="8"/>
        <v>107219055.13200001</v>
      </c>
      <c r="F344" s="2">
        <v>44946</v>
      </c>
      <c r="G344" s="3" t="s">
        <v>491</v>
      </c>
      <c r="H344" t="s">
        <v>193</v>
      </c>
      <c r="I344" s="7">
        <v>49689</v>
      </c>
      <c r="J344" t="s">
        <v>20</v>
      </c>
      <c r="K344" s="12">
        <v>2400</v>
      </c>
      <c r="L344" t="s">
        <v>0</v>
      </c>
      <c r="M344" s="12">
        <v>41143.56</v>
      </c>
      <c r="N344" t="s">
        <v>1</v>
      </c>
      <c r="O344" s="12">
        <v>17.14</v>
      </c>
      <c r="P344" s="12">
        <v>7890.83</v>
      </c>
      <c r="Q344" s="12">
        <v>3.29</v>
      </c>
    </row>
    <row r="345" spans="1:17" x14ac:dyDescent="0.2">
      <c r="A345" t="s">
        <v>29</v>
      </c>
      <c r="B345" t="s">
        <v>30</v>
      </c>
      <c r="C345" s="5">
        <v>51056694.719999999</v>
      </c>
      <c r="D345" s="2">
        <v>44321</v>
      </c>
      <c r="E345" s="5">
        <f t="shared" si="8"/>
        <v>107219058.912</v>
      </c>
      <c r="F345" s="2">
        <v>44946</v>
      </c>
      <c r="G345" s="3" t="s">
        <v>492</v>
      </c>
      <c r="H345" t="s">
        <v>194</v>
      </c>
      <c r="I345" s="7">
        <v>49689</v>
      </c>
      <c r="J345" t="s">
        <v>20</v>
      </c>
      <c r="K345" s="12">
        <v>4980</v>
      </c>
      <c r="L345" t="s">
        <v>0</v>
      </c>
      <c r="M345" s="12">
        <v>72405.710000000006</v>
      </c>
      <c r="N345" t="s">
        <v>1</v>
      </c>
      <c r="O345" s="12">
        <v>14.54</v>
      </c>
      <c r="P345" s="12">
        <v>13886.52</v>
      </c>
      <c r="Q345" s="12">
        <v>2.79</v>
      </c>
    </row>
    <row r="346" spans="1:17" x14ac:dyDescent="0.2">
      <c r="A346" t="s">
        <v>29</v>
      </c>
      <c r="B346" t="s">
        <v>30</v>
      </c>
      <c r="C346" s="5">
        <v>51056695.759999998</v>
      </c>
      <c r="D346" s="2">
        <v>44942</v>
      </c>
      <c r="E346" s="5">
        <f t="shared" si="8"/>
        <v>107219061.096</v>
      </c>
      <c r="F346" s="2">
        <v>44946</v>
      </c>
      <c r="G346" s="3" t="s">
        <v>493</v>
      </c>
      <c r="H346" t="s">
        <v>47</v>
      </c>
      <c r="I346" s="7">
        <v>49738</v>
      </c>
      <c r="J346" t="s">
        <v>21</v>
      </c>
      <c r="K346" s="12">
        <v>15000</v>
      </c>
      <c r="L346" t="s">
        <v>0</v>
      </c>
      <c r="M346" s="12">
        <v>163350</v>
      </c>
      <c r="N346" t="s">
        <v>1</v>
      </c>
      <c r="O346" s="12">
        <v>10.89</v>
      </c>
      <c r="P346" s="12">
        <v>31328.51</v>
      </c>
      <c r="Q346" s="12">
        <v>2.09</v>
      </c>
    </row>
    <row r="347" spans="1:17" x14ac:dyDescent="0.2">
      <c r="A347" t="s">
        <v>29</v>
      </c>
      <c r="B347" t="s">
        <v>30</v>
      </c>
      <c r="C347" s="5">
        <v>51056730.890000001</v>
      </c>
      <c r="D347" s="2">
        <v>44945</v>
      </c>
      <c r="E347" s="5">
        <f t="shared" si="8"/>
        <v>107219134.869</v>
      </c>
      <c r="F347" s="2">
        <v>44949</v>
      </c>
      <c r="G347" s="3" t="s">
        <v>366</v>
      </c>
      <c r="H347" t="s">
        <v>75</v>
      </c>
      <c r="I347" s="7">
        <v>49738</v>
      </c>
      <c r="J347" t="s">
        <v>21</v>
      </c>
      <c r="K347" s="12">
        <v>5400</v>
      </c>
      <c r="L347" t="s">
        <v>0</v>
      </c>
      <c r="M347" s="12">
        <v>59601.599999999999</v>
      </c>
      <c r="N347" t="s">
        <v>1</v>
      </c>
      <c r="O347" s="12">
        <v>11.04</v>
      </c>
      <c r="P347" s="12">
        <v>11465.59</v>
      </c>
      <c r="Q347" s="12">
        <v>2.12</v>
      </c>
    </row>
    <row r="348" spans="1:17" x14ac:dyDescent="0.2">
      <c r="A348" t="s">
        <v>29</v>
      </c>
      <c r="B348" t="s">
        <v>30</v>
      </c>
      <c r="C348" s="5">
        <v>51056736.060000002</v>
      </c>
      <c r="D348" s="2">
        <v>44944</v>
      </c>
      <c r="E348" s="5">
        <f t="shared" si="8"/>
        <v>107219145.72600001</v>
      </c>
      <c r="F348" s="2">
        <v>44949</v>
      </c>
      <c r="G348" s="3" t="s">
        <v>440</v>
      </c>
      <c r="H348" t="s">
        <v>144</v>
      </c>
      <c r="I348" s="7">
        <v>49732</v>
      </c>
      <c r="J348" t="s">
        <v>27</v>
      </c>
      <c r="K348" s="12">
        <v>26400</v>
      </c>
      <c r="L348" t="s">
        <v>0</v>
      </c>
      <c r="M348" s="12">
        <v>440000</v>
      </c>
      <c r="N348" t="s">
        <v>1</v>
      </c>
      <c r="O348" s="12">
        <v>16.670000000000002</v>
      </c>
      <c r="P348" s="12">
        <v>84643.06</v>
      </c>
      <c r="Q348" s="12">
        <v>3.21</v>
      </c>
    </row>
    <row r="349" spans="1:17" x14ac:dyDescent="0.2">
      <c r="A349" t="s">
        <v>29</v>
      </c>
      <c r="B349" t="s">
        <v>30</v>
      </c>
      <c r="C349" s="5">
        <v>51056738.18</v>
      </c>
      <c r="D349" s="2">
        <v>44945</v>
      </c>
      <c r="E349" s="5">
        <f t="shared" si="8"/>
        <v>107219150.178</v>
      </c>
      <c r="F349" s="2">
        <v>44949</v>
      </c>
      <c r="G349" s="3" t="s">
        <v>420</v>
      </c>
      <c r="H349" t="s">
        <v>125</v>
      </c>
      <c r="I349" s="7">
        <v>49689</v>
      </c>
      <c r="J349" t="s">
        <v>20</v>
      </c>
      <c r="K349" s="12">
        <v>23400</v>
      </c>
      <c r="L349" t="s">
        <v>0</v>
      </c>
      <c r="M349" s="12">
        <v>399750</v>
      </c>
      <c r="N349" t="s">
        <v>1</v>
      </c>
      <c r="O349" s="12">
        <v>17.079999999999998</v>
      </c>
      <c r="P349" s="12">
        <v>76652.149999999994</v>
      </c>
      <c r="Q349" s="12">
        <v>3.28</v>
      </c>
    </row>
    <row r="350" spans="1:17" x14ac:dyDescent="0.2">
      <c r="A350" t="s">
        <v>29</v>
      </c>
      <c r="B350" t="s">
        <v>30</v>
      </c>
      <c r="C350" s="5">
        <v>51056747</v>
      </c>
      <c r="D350" s="2">
        <v>44944</v>
      </c>
      <c r="E350" s="5">
        <f t="shared" si="8"/>
        <v>107219168.7</v>
      </c>
      <c r="F350" s="2">
        <v>44949</v>
      </c>
      <c r="G350" s="3" t="s">
        <v>440</v>
      </c>
      <c r="H350" t="s">
        <v>144</v>
      </c>
      <c r="I350" s="7">
        <v>49732</v>
      </c>
      <c r="J350" t="s">
        <v>27</v>
      </c>
      <c r="K350" s="12">
        <v>26820</v>
      </c>
      <c r="L350" t="s">
        <v>0</v>
      </c>
      <c r="M350" s="12">
        <v>455940</v>
      </c>
      <c r="N350" t="s">
        <v>1</v>
      </c>
      <c r="O350" s="12">
        <v>17</v>
      </c>
      <c r="P350" s="12">
        <v>87709.440000000002</v>
      </c>
      <c r="Q350" s="12">
        <v>3.27</v>
      </c>
    </row>
    <row r="351" spans="1:17" x14ac:dyDescent="0.2">
      <c r="A351" t="s">
        <v>29</v>
      </c>
      <c r="B351" t="s">
        <v>30</v>
      </c>
      <c r="C351" s="5">
        <v>51056748.210000001</v>
      </c>
      <c r="D351" s="2">
        <v>44944</v>
      </c>
      <c r="E351" s="5">
        <f t="shared" si="8"/>
        <v>107219171.24100001</v>
      </c>
      <c r="F351" s="2">
        <v>44949</v>
      </c>
      <c r="G351" s="3" t="s">
        <v>440</v>
      </c>
      <c r="H351" t="s">
        <v>144</v>
      </c>
      <c r="I351" s="7">
        <v>49732</v>
      </c>
      <c r="J351" t="s">
        <v>27</v>
      </c>
      <c r="K351" s="12">
        <v>26160</v>
      </c>
      <c r="L351" t="s">
        <v>0</v>
      </c>
      <c r="M351" s="12">
        <v>444720</v>
      </c>
      <c r="N351" t="s">
        <v>1</v>
      </c>
      <c r="O351" s="12">
        <v>17</v>
      </c>
      <c r="P351" s="12">
        <v>85551.05</v>
      </c>
      <c r="Q351" s="12">
        <v>3.27</v>
      </c>
    </row>
    <row r="352" spans="1:17" x14ac:dyDescent="0.2">
      <c r="A352" t="s">
        <v>29</v>
      </c>
      <c r="B352" t="s">
        <v>30</v>
      </c>
      <c r="C352" s="5">
        <v>51056748.219999999</v>
      </c>
      <c r="D352" s="2">
        <v>44944</v>
      </c>
      <c r="E352" s="5">
        <f t="shared" si="8"/>
        <v>107219171.26200001</v>
      </c>
      <c r="F352" s="2">
        <v>44949</v>
      </c>
      <c r="G352" s="3" t="s">
        <v>440</v>
      </c>
      <c r="H352" t="s">
        <v>144</v>
      </c>
      <c r="I352" s="7">
        <v>49732</v>
      </c>
      <c r="J352" t="s">
        <v>27</v>
      </c>
      <c r="K352" s="12">
        <v>26220</v>
      </c>
      <c r="L352" t="s">
        <v>0</v>
      </c>
      <c r="M352" s="12">
        <v>445740</v>
      </c>
      <c r="N352" t="s">
        <v>1</v>
      </c>
      <c r="O352" s="12">
        <v>17</v>
      </c>
      <c r="P352" s="12">
        <v>85747.26</v>
      </c>
      <c r="Q352" s="12">
        <v>3.27</v>
      </c>
    </row>
    <row r="353" spans="1:17" x14ac:dyDescent="0.2">
      <c r="A353" t="s">
        <v>29</v>
      </c>
      <c r="B353" t="s">
        <v>30</v>
      </c>
      <c r="C353" s="5">
        <v>51056748.230000004</v>
      </c>
      <c r="D353" s="2">
        <v>44944</v>
      </c>
      <c r="E353" s="5">
        <f t="shared" si="8"/>
        <v>107219171.28300001</v>
      </c>
      <c r="F353" s="2">
        <v>44949</v>
      </c>
      <c r="G353" s="3" t="s">
        <v>494</v>
      </c>
      <c r="H353" t="s">
        <v>57</v>
      </c>
      <c r="I353" s="7">
        <v>49731</v>
      </c>
      <c r="J353" t="s">
        <v>23</v>
      </c>
      <c r="K353" s="12">
        <v>28020</v>
      </c>
      <c r="L353" t="s">
        <v>0</v>
      </c>
      <c r="M353" s="12">
        <v>531011.68999999994</v>
      </c>
      <c r="N353" t="s">
        <v>1</v>
      </c>
      <c r="O353" s="12">
        <v>18.95</v>
      </c>
      <c r="P353" s="12">
        <v>102151.03</v>
      </c>
      <c r="Q353" s="12">
        <v>3.65</v>
      </c>
    </row>
    <row r="354" spans="1:17" x14ac:dyDescent="0.2">
      <c r="A354" t="s">
        <v>29</v>
      </c>
      <c r="B354" t="s">
        <v>30</v>
      </c>
      <c r="C354" s="5">
        <v>51056748.25</v>
      </c>
      <c r="D354" s="2">
        <v>44943</v>
      </c>
      <c r="E354" s="5">
        <f t="shared" si="8"/>
        <v>107219171.325</v>
      </c>
      <c r="F354" s="2">
        <v>44949</v>
      </c>
      <c r="G354" s="3" t="s">
        <v>443</v>
      </c>
      <c r="H354" t="s">
        <v>147</v>
      </c>
      <c r="I354" s="7">
        <v>49689</v>
      </c>
      <c r="J354" t="s">
        <v>20</v>
      </c>
      <c r="K354" s="12">
        <v>1875</v>
      </c>
      <c r="L354" t="s">
        <v>0</v>
      </c>
      <c r="M354" s="12">
        <v>29993.63</v>
      </c>
      <c r="N354" t="s">
        <v>1</v>
      </c>
      <c r="O354" s="12">
        <v>16</v>
      </c>
      <c r="P354" s="12">
        <v>5771.12</v>
      </c>
      <c r="Q354" s="12">
        <v>3.08</v>
      </c>
    </row>
    <row r="355" spans="1:17" x14ac:dyDescent="0.2">
      <c r="A355" t="s">
        <v>29</v>
      </c>
      <c r="B355" t="s">
        <v>30</v>
      </c>
      <c r="C355" s="5">
        <v>51056748.710000001</v>
      </c>
      <c r="D355" s="2">
        <v>44936</v>
      </c>
      <c r="E355" s="5">
        <f t="shared" si="8"/>
        <v>107219172.29100001</v>
      </c>
      <c r="F355" s="2">
        <v>44949</v>
      </c>
      <c r="G355" s="3" t="s">
        <v>410</v>
      </c>
      <c r="H355" t="s">
        <v>115</v>
      </c>
      <c r="I355" s="7">
        <v>35333</v>
      </c>
      <c r="J355" t="s">
        <v>22</v>
      </c>
      <c r="K355" s="12">
        <v>2.9430000000000001</v>
      </c>
      <c r="L355" t="s">
        <v>2</v>
      </c>
      <c r="M355" s="12">
        <v>42715.81</v>
      </c>
      <c r="N355" t="s">
        <v>1</v>
      </c>
      <c r="O355" s="12">
        <v>14514.38</v>
      </c>
      <c r="P355" s="12">
        <v>8391.1200000000008</v>
      </c>
      <c r="Q355" s="12">
        <v>2851.21</v>
      </c>
    </row>
    <row r="356" spans="1:17" x14ac:dyDescent="0.2">
      <c r="A356" t="s">
        <v>29</v>
      </c>
      <c r="B356" t="s">
        <v>30</v>
      </c>
      <c r="C356" s="5">
        <v>51056750.910000004</v>
      </c>
      <c r="D356" s="2">
        <v>44943</v>
      </c>
      <c r="E356" s="5">
        <f t="shared" si="8"/>
        <v>107219176.91100001</v>
      </c>
      <c r="F356" s="2">
        <v>44949</v>
      </c>
      <c r="G356" s="3" t="s">
        <v>495</v>
      </c>
      <c r="H356" t="s">
        <v>57</v>
      </c>
      <c r="I356" s="7">
        <v>49731</v>
      </c>
      <c r="J356" t="s">
        <v>23</v>
      </c>
      <c r="K356" s="12">
        <v>31200</v>
      </c>
      <c r="L356" t="s">
        <v>0</v>
      </c>
      <c r="M356" s="12">
        <v>520000</v>
      </c>
      <c r="N356" t="s">
        <v>1</v>
      </c>
      <c r="O356" s="12">
        <v>16.670000000000002</v>
      </c>
      <c r="P356" s="12">
        <v>100032.7</v>
      </c>
      <c r="Q356" s="12">
        <v>3.21</v>
      </c>
    </row>
    <row r="357" spans="1:17" x14ac:dyDescent="0.2">
      <c r="A357" t="s">
        <v>29</v>
      </c>
      <c r="B357" t="s">
        <v>30</v>
      </c>
      <c r="C357" s="5">
        <v>51056750.93</v>
      </c>
      <c r="D357" s="2">
        <v>44944</v>
      </c>
      <c r="E357" s="5">
        <f t="shared" si="8"/>
        <v>107219176.95300001</v>
      </c>
      <c r="F357" s="2">
        <v>44949</v>
      </c>
      <c r="G357" s="3" t="s">
        <v>390</v>
      </c>
      <c r="H357" t="s">
        <v>99</v>
      </c>
      <c r="I357" s="7">
        <v>49731</v>
      </c>
      <c r="J357" t="s">
        <v>23</v>
      </c>
      <c r="K357" s="12">
        <v>10222</v>
      </c>
      <c r="L357" t="s">
        <v>0</v>
      </c>
      <c r="M357" s="12">
        <v>187778.14</v>
      </c>
      <c r="N357" t="s">
        <v>1</v>
      </c>
      <c r="O357" s="12">
        <v>18.37</v>
      </c>
      <c r="P357" s="12">
        <v>36122.99</v>
      </c>
      <c r="Q357" s="12">
        <v>3.53</v>
      </c>
    </row>
    <row r="358" spans="1:17" x14ac:dyDescent="0.2">
      <c r="A358" t="s">
        <v>29</v>
      </c>
      <c r="B358" t="s">
        <v>30</v>
      </c>
      <c r="C358" s="5">
        <v>51056750.960000001</v>
      </c>
      <c r="D358" s="2">
        <v>44944</v>
      </c>
      <c r="E358" s="5">
        <f t="shared" si="8"/>
        <v>107219177.016</v>
      </c>
      <c r="F358" s="2">
        <v>44949</v>
      </c>
      <c r="G358" s="3" t="s">
        <v>496</v>
      </c>
      <c r="H358" t="s">
        <v>195</v>
      </c>
      <c r="I358" s="7">
        <v>49731</v>
      </c>
      <c r="J358" t="s">
        <v>23</v>
      </c>
      <c r="K358" s="12">
        <v>30000</v>
      </c>
      <c r="L358" t="s">
        <v>0</v>
      </c>
      <c r="M358" s="12">
        <v>522615</v>
      </c>
      <c r="N358" t="s">
        <v>1</v>
      </c>
      <c r="O358" s="12">
        <v>17.420000000000002</v>
      </c>
      <c r="P358" s="12">
        <v>100535.75</v>
      </c>
      <c r="Q358" s="12">
        <v>3.35</v>
      </c>
    </row>
    <row r="359" spans="1:17" x14ac:dyDescent="0.2">
      <c r="A359" t="s">
        <v>29</v>
      </c>
      <c r="B359" t="s">
        <v>30</v>
      </c>
      <c r="C359" s="5">
        <v>51056750.969999999</v>
      </c>
      <c r="D359" s="2">
        <v>44946</v>
      </c>
      <c r="E359" s="5">
        <f t="shared" si="8"/>
        <v>107219177.037</v>
      </c>
      <c r="F359" s="2">
        <v>44949</v>
      </c>
      <c r="G359" s="3" t="s">
        <v>497</v>
      </c>
      <c r="H359" t="s">
        <v>196</v>
      </c>
      <c r="I359" s="7">
        <v>49689</v>
      </c>
      <c r="J359" t="s">
        <v>20</v>
      </c>
      <c r="K359" s="12">
        <v>6634</v>
      </c>
      <c r="L359" t="s">
        <v>0</v>
      </c>
      <c r="M359" s="12">
        <v>107545.76</v>
      </c>
      <c r="N359" t="s">
        <v>1</v>
      </c>
      <c r="O359" s="12">
        <v>16.21</v>
      </c>
      <c r="P359" s="12">
        <v>20688.64</v>
      </c>
      <c r="Q359" s="12">
        <v>3.12</v>
      </c>
    </row>
    <row r="360" spans="1:17" x14ac:dyDescent="0.2">
      <c r="A360" t="s">
        <v>29</v>
      </c>
      <c r="B360" t="s">
        <v>30</v>
      </c>
      <c r="C360" s="5">
        <v>51056750.990000002</v>
      </c>
      <c r="D360" s="2">
        <v>44944</v>
      </c>
      <c r="E360" s="5">
        <f t="shared" si="8"/>
        <v>107219177.07900001</v>
      </c>
      <c r="F360" s="2">
        <v>44949</v>
      </c>
      <c r="G360" s="3" t="s">
        <v>498</v>
      </c>
      <c r="H360" t="s">
        <v>197</v>
      </c>
      <c r="I360" s="7">
        <v>49689</v>
      </c>
      <c r="J360" t="s">
        <v>20</v>
      </c>
      <c r="K360" s="12">
        <v>13500</v>
      </c>
      <c r="L360" t="s">
        <v>0</v>
      </c>
      <c r="M360" s="12">
        <v>226125</v>
      </c>
      <c r="N360" t="s">
        <v>1</v>
      </c>
      <c r="O360" s="12">
        <v>16.75</v>
      </c>
      <c r="P360" s="12">
        <v>43499.8</v>
      </c>
      <c r="Q360" s="12">
        <v>3.22</v>
      </c>
    </row>
    <row r="361" spans="1:17" x14ac:dyDescent="0.2">
      <c r="A361" t="s">
        <v>29</v>
      </c>
      <c r="B361" t="s">
        <v>30</v>
      </c>
      <c r="C361" s="5">
        <v>51056757.910000004</v>
      </c>
      <c r="D361" s="2">
        <v>44944</v>
      </c>
      <c r="E361" s="5">
        <f t="shared" si="8"/>
        <v>107219191.61100002</v>
      </c>
      <c r="F361" s="2">
        <v>44949</v>
      </c>
      <c r="G361" s="3" t="s">
        <v>499</v>
      </c>
      <c r="H361" t="s">
        <v>198</v>
      </c>
      <c r="I361" s="7">
        <v>49689</v>
      </c>
      <c r="J361" t="s">
        <v>20</v>
      </c>
      <c r="K361" s="12">
        <v>18000</v>
      </c>
      <c r="L361" t="s">
        <v>0</v>
      </c>
      <c r="M361" s="12">
        <v>313704</v>
      </c>
      <c r="N361" t="s">
        <v>1</v>
      </c>
      <c r="O361" s="12">
        <v>17.43</v>
      </c>
      <c r="P361" s="12">
        <v>60347.42</v>
      </c>
      <c r="Q361" s="12">
        <v>3.35</v>
      </c>
    </row>
    <row r="362" spans="1:17" x14ac:dyDescent="0.2">
      <c r="A362" t="s">
        <v>29</v>
      </c>
      <c r="B362" t="s">
        <v>30</v>
      </c>
      <c r="C362" s="5">
        <v>51056757.939999998</v>
      </c>
      <c r="D362" s="2">
        <v>44945</v>
      </c>
      <c r="E362" s="5">
        <f t="shared" si="8"/>
        <v>107219191.67399999</v>
      </c>
      <c r="F362" s="2">
        <v>44947</v>
      </c>
      <c r="G362" s="3" t="s">
        <v>500</v>
      </c>
      <c r="H362" t="s">
        <v>199</v>
      </c>
      <c r="I362" s="7">
        <v>49689</v>
      </c>
      <c r="J362" t="s">
        <v>20</v>
      </c>
      <c r="K362" s="12">
        <v>36000</v>
      </c>
      <c r="L362" t="s">
        <v>0</v>
      </c>
      <c r="M362" s="12">
        <v>609000</v>
      </c>
      <c r="N362" t="s">
        <v>1</v>
      </c>
      <c r="O362" s="12">
        <v>16.920000000000002</v>
      </c>
      <c r="P362" s="12">
        <v>116821.57</v>
      </c>
      <c r="Q362" s="12">
        <v>3.25</v>
      </c>
    </row>
    <row r="363" spans="1:17" x14ac:dyDescent="0.2">
      <c r="A363" t="s">
        <v>29</v>
      </c>
      <c r="B363" t="s">
        <v>30</v>
      </c>
      <c r="C363" s="5">
        <v>51056760.560000002</v>
      </c>
      <c r="D363" s="2">
        <v>44944</v>
      </c>
      <c r="E363" s="5">
        <f t="shared" ref="E363:E426" si="9">C363*2.1</f>
        <v>107219197.17600001</v>
      </c>
      <c r="F363" s="2">
        <v>44949</v>
      </c>
      <c r="G363" s="3" t="s">
        <v>501</v>
      </c>
      <c r="H363" t="s">
        <v>200</v>
      </c>
      <c r="I363" s="7">
        <v>49689</v>
      </c>
      <c r="J363" t="s">
        <v>20</v>
      </c>
      <c r="K363" s="12">
        <v>31060</v>
      </c>
      <c r="L363" t="s">
        <v>0</v>
      </c>
      <c r="M363" s="12">
        <v>546573.16</v>
      </c>
      <c r="N363" t="s">
        <v>1</v>
      </c>
      <c r="O363" s="12">
        <v>17.600000000000001</v>
      </c>
      <c r="P363" s="12">
        <v>105144.6</v>
      </c>
      <c r="Q363" s="12">
        <v>3.39</v>
      </c>
    </row>
    <row r="364" spans="1:17" x14ac:dyDescent="0.2">
      <c r="A364" t="s">
        <v>29</v>
      </c>
      <c r="B364" t="s">
        <v>30</v>
      </c>
      <c r="C364" s="5">
        <v>51056760.57</v>
      </c>
      <c r="D364" s="2">
        <v>44945</v>
      </c>
      <c r="E364" s="5">
        <f t="shared" si="9"/>
        <v>107219197.19700001</v>
      </c>
      <c r="F364" s="2">
        <v>44949</v>
      </c>
      <c r="G364" s="3" t="s">
        <v>502</v>
      </c>
      <c r="H364" t="s">
        <v>201</v>
      </c>
      <c r="I364" s="7">
        <v>49689</v>
      </c>
      <c r="J364" t="s">
        <v>20</v>
      </c>
      <c r="K364" s="12">
        <v>30000</v>
      </c>
      <c r="L364" t="s">
        <v>0</v>
      </c>
      <c r="M364" s="12">
        <v>527343</v>
      </c>
      <c r="N364" t="s">
        <v>1</v>
      </c>
      <c r="O364" s="12">
        <v>17.579999999999998</v>
      </c>
      <c r="P364" s="12">
        <v>101445.28</v>
      </c>
      <c r="Q364" s="12">
        <v>3.38</v>
      </c>
    </row>
    <row r="365" spans="1:17" x14ac:dyDescent="0.2">
      <c r="A365" t="s">
        <v>29</v>
      </c>
      <c r="B365" t="s">
        <v>30</v>
      </c>
      <c r="C365" s="5">
        <v>51056766.350000001</v>
      </c>
      <c r="D365" s="2">
        <v>44945</v>
      </c>
      <c r="E365" s="5">
        <f t="shared" si="9"/>
        <v>107219209.33500001</v>
      </c>
      <c r="F365" s="2">
        <v>44949</v>
      </c>
      <c r="G365" s="3" t="s">
        <v>349</v>
      </c>
      <c r="H365" t="s">
        <v>58</v>
      </c>
      <c r="I365" s="7">
        <v>35334</v>
      </c>
      <c r="J365" t="s">
        <v>24</v>
      </c>
      <c r="K365" s="12">
        <v>18</v>
      </c>
      <c r="L365" t="s">
        <v>2</v>
      </c>
      <c r="M365" s="12">
        <v>261258.75</v>
      </c>
      <c r="N365" t="s">
        <v>1</v>
      </c>
      <c r="O365" s="12">
        <v>14514.38</v>
      </c>
      <c r="P365" s="12">
        <v>50108.41</v>
      </c>
      <c r="Q365" s="12">
        <v>2783.8</v>
      </c>
    </row>
    <row r="366" spans="1:17" x14ac:dyDescent="0.2">
      <c r="A366" t="s">
        <v>29</v>
      </c>
      <c r="B366" t="s">
        <v>30</v>
      </c>
      <c r="C366" s="5">
        <v>51056767.009999998</v>
      </c>
      <c r="D366" s="2">
        <v>44943</v>
      </c>
      <c r="E366" s="5">
        <f t="shared" si="9"/>
        <v>107219210.721</v>
      </c>
      <c r="F366" s="2">
        <v>44949</v>
      </c>
      <c r="G366" s="3" t="s">
        <v>432</v>
      </c>
      <c r="H366" t="s">
        <v>137</v>
      </c>
      <c r="I366" s="7">
        <v>49689</v>
      </c>
      <c r="J366" t="s">
        <v>20</v>
      </c>
      <c r="K366" s="12">
        <v>15000</v>
      </c>
      <c r="L366" t="s">
        <v>0</v>
      </c>
      <c r="M366" s="12">
        <v>245625</v>
      </c>
      <c r="N366" t="s">
        <v>1</v>
      </c>
      <c r="O366" s="12">
        <v>16.38</v>
      </c>
      <c r="P366" s="12">
        <v>47251.02</v>
      </c>
      <c r="Q366" s="12">
        <v>3.15</v>
      </c>
    </row>
    <row r="367" spans="1:17" x14ac:dyDescent="0.2">
      <c r="A367" t="s">
        <v>29</v>
      </c>
      <c r="B367" t="s">
        <v>30</v>
      </c>
      <c r="C367" s="5">
        <v>51056767.689999998</v>
      </c>
      <c r="D367" s="2">
        <v>44946</v>
      </c>
      <c r="E367" s="5">
        <f t="shared" si="9"/>
        <v>107219212.149</v>
      </c>
      <c r="F367" s="2">
        <v>44949</v>
      </c>
      <c r="G367" s="3" t="s">
        <v>392</v>
      </c>
      <c r="H367" t="s">
        <v>57</v>
      </c>
      <c r="I367" s="7">
        <v>35334</v>
      </c>
      <c r="J367" t="s">
        <v>24</v>
      </c>
      <c r="K367" s="12">
        <v>7.7960000000000003</v>
      </c>
      <c r="L367" t="s">
        <v>2</v>
      </c>
      <c r="M367" s="12">
        <v>113154.1</v>
      </c>
      <c r="N367" t="s">
        <v>1</v>
      </c>
      <c r="O367" s="12">
        <v>14514.38</v>
      </c>
      <c r="P367" s="12">
        <v>21701.56</v>
      </c>
      <c r="Q367" s="12">
        <v>2783.68</v>
      </c>
    </row>
    <row r="368" spans="1:17" x14ac:dyDescent="0.2">
      <c r="A368" t="s">
        <v>29</v>
      </c>
      <c r="B368" t="s">
        <v>30</v>
      </c>
      <c r="C368" s="5">
        <v>51056768.390000001</v>
      </c>
      <c r="D368" s="2">
        <v>44947</v>
      </c>
      <c r="E368" s="5">
        <f t="shared" si="9"/>
        <v>107219213.619</v>
      </c>
      <c r="F368" s="2">
        <v>44949</v>
      </c>
      <c r="G368" s="3" t="s">
        <v>365</v>
      </c>
      <c r="H368" t="s">
        <v>74</v>
      </c>
      <c r="I368" s="7">
        <v>35334</v>
      </c>
      <c r="J368" t="s">
        <v>24</v>
      </c>
      <c r="K368" s="12">
        <v>18.594999999999999</v>
      </c>
      <c r="L368" t="s">
        <v>2</v>
      </c>
      <c r="M368" s="12">
        <v>179929.87</v>
      </c>
      <c r="N368" t="s">
        <v>1</v>
      </c>
      <c r="O368" s="12">
        <v>9676.25</v>
      </c>
      <c r="P368" s="12">
        <v>50100.27</v>
      </c>
      <c r="Q368" s="12">
        <v>2694.29</v>
      </c>
    </row>
    <row r="369" spans="1:17" x14ac:dyDescent="0.2">
      <c r="A369" t="s">
        <v>29</v>
      </c>
      <c r="B369" t="s">
        <v>30</v>
      </c>
      <c r="C369" s="5">
        <v>51056769.509999998</v>
      </c>
      <c r="D369" s="2">
        <v>44949</v>
      </c>
      <c r="E369" s="5">
        <f t="shared" si="9"/>
        <v>107219215.971</v>
      </c>
      <c r="F369" s="2">
        <v>44949</v>
      </c>
      <c r="G369" s="3" t="s">
        <v>503</v>
      </c>
      <c r="H369" t="s">
        <v>202</v>
      </c>
      <c r="I369" s="7">
        <v>35334</v>
      </c>
      <c r="J369" t="s">
        <v>24</v>
      </c>
      <c r="K369" s="12">
        <v>30</v>
      </c>
      <c r="L369" t="s">
        <v>2</v>
      </c>
      <c r="M369" s="12">
        <v>377373.75</v>
      </c>
      <c r="N369" t="s">
        <v>1</v>
      </c>
      <c r="O369" s="12">
        <v>12579.13</v>
      </c>
      <c r="P369" s="12">
        <v>56154.71</v>
      </c>
      <c r="Q369" s="12">
        <v>1871.82</v>
      </c>
    </row>
    <row r="370" spans="1:17" x14ac:dyDescent="0.2">
      <c r="A370" t="s">
        <v>29</v>
      </c>
      <c r="B370" t="s">
        <v>30</v>
      </c>
      <c r="C370" s="5">
        <v>51056771.410000004</v>
      </c>
      <c r="D370" s="2">
        <v>44945</v>
      </c>
      <c r="E370" s="5">
        <f t="shared" si="9"/>
        <v>107219219.96100001</v>
      </c>
      <c r="F370" s="2">
        <v>44949</v>
      </c>
      <c r="G370" s="3" t="s">
        <v>420</v>
      </c>
      <c r="H370" t="s">
        <v>125</v>
      </c>
      <c r="I370" s="7">
        <v>49689</v>
      </c>
      <c r="J370" t="s">
        <v>20</v>
      </c>
      <c r="K370" s="12">
        <v>16800</v>
      </c>
      <c r="L370" t="s">
        <v>0</v>
      </c>
      <c r="M370" s="12">
        <v>244658.4</v>
      </c>
      <c r="N370" t="s">
        <v>1</v>
      </c>
      <c r="O370" s="12">
        <v>14.56</v>
      </c>
      <c r="P370" s="12">
        <v>47065.08</v>
      </c>
      <c r="Q370" s="12">
        <v>2.8</v>
      </c>
    </row>
    <row r="371" spans="1:17" x14ac:dyDescent="0.2">
      <c r="A371" t="s">
        <v>29</v>
      </c>
      <c r="B371" t="s">
        <v>30</v>
      </c>
      <c r="C371" s="5">
        <v>51056771.480000004</v>
      </c>
      <c r="D371" s="2">
        <v>44945</v>
      </c>
      <c r="E371" s="5">
        <f t="shared" si="9"/>
        <v>107219220.10800001</v>
      </c>
      <c r="F371" s="2">
        <v>44949</v>
      </c>
      <c r="G371" s="3" t="s">
        <v>423</v>
      </c>
      <c r="H371" t="s">
        <v>128</v>
      </c>
      <c r="I371" s="7">
        <v>49689</v>
      </c>
      <c r="J371" t="s">
        <v>20</v>
      </c>
      <c r="K371" s="12">
        <v>15000</v>
      </c>
      <c r="L371" t="s">
        <v>0</v>
      </c>
      <c r="M371" s="12">
        <v>260510</v>
      </c>
      <c r="N371" t="s">
        <v>1</v>
      </c>
      <c r="O371" s="12">
        <v>17.37</v>
      </c>
      <c r="P371" s="12">
        <v>50114.46</v>
      </c>
      <c r="Q371" s="12">
        <v>3.34</v>
      </c>
    </row>
    <row r="372" spans="1:17" x14ac:dyDescent="0.2">
      <c r="A372" t="s">
        <v>29</v>
      </c>
      <c r="B372" t="s">
        <v>30</v>
      </c>
      <c r="C372" s="5">
        <v>51056772.18</v>
      </c>
      <c r="D372" s="2">
        <v>44949</v>
      </c>
      <c r="E372" s="5">
        <f t="shared" si="9"/>
        <v>107219221.57800001</v>
      </c>
      <c r="F372" s="2">
        <v>44949</v>
      </c>
      <c r="G372" s="3" t="s">
        <v>504</v>
      </c>
      <c r="H372" t="s">
        <v>203</v>
      </c>
      <c r="I372" s="7">
        <v>49689</v>
      </c>
      <c r="J372" t="s">
        <v>20</v>
      </c>
      <c r="K372" s="12">
        <v>6000</v>
      </c>
      <c r="L372" t="s">
        <v>0</v>
      </c>
      <c r="M372" s="12">
        <v>96776.6</v>
      </c>
      <c r="N372" t="s">
        <v>1</v>
      </c>
      <c r="O372" s="12">
        <v>16.13</v>
      </c>
      <c r="P372" s="12">
        <v>18616.97</v>
      </c>
      <c r="Q372" s="12">
        <v>3.1</v>
      </c>
    </row>
    <row r="373" spans="1:17" x14ac:dyDescent="0.2">
      <c r="A373" t="s">
        <v>29</v>
      </c>
      <c r="B373" t="s">
        <v>30</v>
      </c>
      <c r="C373" s="5">
        <v>51056772.670000002</v>
      </c>
      <c r="D373" s="2">
        <v>44946</v>
      </c>
      <c r="E373" s="5">
        <f t="shared" si="9"/>
        <v>107219222.60700001</v>
      </c>
      <c r="F373" s="2">
        <v>44949</v>
      </c>
      <c r="G373" s="3" t="s">
        <v>484</v>
      </c>
      <c r="H373" t="s">
        <v>186</v>
      </c>
      <c r="I373" s="7">
        <v>49689</v>
      </c>
      <c r="J373" t="s">
        <v>20</v>
      </c>
      <c r="K373" s="12">
        <v>2700</v>
      </c>
      <c r="L373" t="s">
        <v>0</v>
      </c>
      <c r="M373" s="12">
        <v>37904.400000000001</v>
      </c>
      <c r="N373" t="s">
        <v>1</v>
      </c>
      <c r="O373" s="12">
        <v>14.04</v>
      </c>
      <c r="P373" s="12">
        <v>7292.38</v>
      </c>
      <c r="Q373" s="12">
        <v>2.7</v>
      </c>
    </row>
    <row r="374" spans="1:17" x14ac:dyDescent="0.2">
      <c r="A374" t="s">
        <v>29</v>
      </c>
      <c r="B374" t="s">
        <v>30</v>
      </c>
      <c r="C374" s="5">
        <v>51056772.689999998</v>
      </c>
      <c r="D374" s="2">
        <v>44946</v>
      </c>
      <c r="E374" s="5">
        <f t="shared" si="9"/>
        <v>107219222.649</v>
      </c>
      <c r="F374" s="2">
        <v>44949</v>
      </c>
      <c r="G374" s="3" t="s">
        <v>484</v>
      </c>
      <c r="H374" t="s">
        <v>186</v>
      </c>
      <c r="I374" s="7">
        <v>49689</v>
      </c>
      <c r="J374" t="s">
        <v>20</v>
      </c>
      <c r="K374" s="12">
        <v>2400</v>
      </c>
      <c r="L374" t="s">
        <v>0</v>
      </c>
      <c r="M374" s="12">
        <v>35076</v>
      </c>
      <c r="N374" t="s">
        <v>1</v>
      </c>
      <c r="O374" s="12">
        <v>14.62</v>
      </c>
      <c r="P374" s="12">
        <v>6749.9</v>
      </c>
      <c r="Q374" s="12">
        <v>2.81</v>
      </c>
    </row>
    <row r="375" spans="1:17" x14ac:dyDescent="0.2">
      <c r="A375" t="s">
        <v>29</v>
      </c>
      <c r="B375" t="s">
        <v>30</v>
      </c>
      <c r="C375" s="5">
        <v>51056775.009999998</v>
      </c>
      <c r="D375" s="2">
        <v>44943</v>
      </c>
      <c r="E375" s="5">
        <f t="shared" si="9"/>
        <v>107219227.521</v>
      </c>
      <c r="F375" s="2">
        <v>44949</v>
      </c>
      <c r="G375" s="3" t="s">
        <v>505</v>
      </c>
      <c r="H375" t="s">
        <v>204</v>
      </c>
      <c r="I375" s="7">
        <v>49689</v>
      </c>
      <c r="J375" t="s">
        <v>20</v>
      </c>
      <c r="K375" s="12">
        <v>2880</v>
      </c>
      <c r="L375" t="s">
        <v>0</v>
      </c>
      <c r="M375" s="12">
        <v>41209.440000000002</v>
      </c>
      <c r="N375" t="s">
        <v>1</v>
      </c>
      <c r="O375" s="12">
        <v>14.31</v>
      </c>
      <c r="P375" s="12">
        <v>7927.48</v>
      </c>
      <c r="Q375" s="12">
        <v>2.75</v>
      </c>
    </row>
    <row r="376" spans="1:17" x14ac:dyDescent="0.2">
      <c r="A376" t="s">
        <v>29</v>
      </c>
      <c r="B376" t="s">
        <v>30</v>
      </c>
      <c r="C376" s="5">
        <v>51056775.07</v>
      </c>
      <c r="D376" s="2">
        <v>44946</v>
      </c>
      <c r="E376" s="5">
        <f t="shared" si="9"/>
        <v>107219227.647</v>
      </c>
      <c r="F376" s="2">
        <v>44949</v>
      </c>
      <c r="G376" s="3" t="s">
        <v>472</v>
      </c>
      <c r="H376" t="s">
        <v>175</v>
      </c>
      <c r="I376" s="7">
        <v>49689</v>
      </c>
      <c r="J376" t="s">
        <v>20</v>
      </c>
      <c r="K376" s="12">
        <v>2400</v>
      </c>
      <c r="L376" t="s">
        <v>0</v>
      </c>
      <c r="M376" s="12">
        <v>42080</v>
      </c>
      <c r="N376" t="s">
        <v>1</v>
      </c>
      <c r="O376" s="12">
        <v>17.53</v>
      </c>
      <c r="P376" s="12">
        <v>8094.95</v>
      </c>
      <c r="Q376" s="12">
        <v>3.37</v>
      </c>
    </row>
    <row r="377" spans="1:17" x14ac:dyDescent="0.2">
      <c r="A377" t="s">
        <v>29</v>
      </c>
      <c r="B377" t="s">
        <v>30</v>
      </c>
      <c r="C377" s="5">
        <v>51056775.93</v>
      </c>
      <c r="D377" s="2">
        <v>44945</v>
      </c>
      <c r="E377" s="5">
        <f t="shared" si="9"/>
        <v>107219229.45300001</v>
      </c>
      <c r="F377" s="2">
        <v>44949</v>
      </c>
      <c r="G377" s="3" t="s">
        <v>321</v>
      </c>
      <c r="H377" t="s">
        <v>31</v>
      </c>
      <c r="I377" s="7">
        <v>49689</v>
      </c>
      <c r="J377" t="s">
        <v>20</v>
      </c>
      <c r="K377" s="12">
        <v>6000</v>
      </c>
      <c r="L377" t="s">
        <v>0</v>
      </c>
      <c r="M377" s="12">
        <v>100254</v>
      </c>
      <c r="N377" t="s">
        <v>1</v>
      </c>
      <c r="O377" s="12">
        <v>16.71</v>
      </c>
      <c r="P377" s="12">
        <v>19285.919999999998</v>
      </c>
      <c r="Q377" s="12">
        <v>3.21</v>
      </c>
    </row>
    <row r="378" spans="1:17" x14ac:dyDescent="0.2">
      <c r="A378" t="s">
        <v>29</v>
      </c>
      <c r="B378" t="s">
        <v>30</v>
      </c>
      <c r="C378" s="5">
        <v>51056776.939999998</v>
      </c>
      <c r="D378" s="2">
        <v>44943</v>
      </c>
      <c r="E378" s="5">
        <f t="shared" si="9"/>
        <v>107219231.574</v>
      </c>
      <c r="F378" s="2">
        <v>44949</v>
      </c>
      <c r="G378" s="3" t="s">
        <v>442</v>
      </c>
      <c r="H378" t="s">
        <v>146</v>
      </c>
      <c r="I378" s="7">
        <v>49689</v>
      </c>
      <c r="J378" t="s">
        <v>20</v>
      </c>
      <c r="K378" s="12">
        <v>9000</v>
      </c>
      <c r="L378" t="s">
        <v>0</v>
      </c>
      <c r="M378" s="12">
        <v>152284.5</v>
      </c>
      <c r="N378" t="s">
        <v>1</v>
      </c>
      <c r="O378" s="12">
        <v>16.920000000000002</v>
      </c>
      <c r="P378" s="12">
        <v>29295.06</v>
      </c>
      <c r="Q378" s="12">
        <v>3.26</v>
      </c>
    </row>
    <row r="379" spans="1:17" x14ac:dyDescent="0.2">
      <c r="A379" t="s">
        <v>29</v>
      </c>
      <c r="B379" t="s">
        <v>30</v>
      </c>
      <c r="C379" s="5">
        <v>51056776.969999999</v>
      </c>
      <c r="D379" s="2">
        <v>44949</v>
      </c>
      <c r="E379" s="5">
        <f t="shared" si="9"/>
        <v>107219231.63700001</v>
      </c>
      <c r="F379" s="2">
        <v>44949</v>
      </c>
      <c r="G379" s="3" t="s">
        <v>446</v>
      </c>
      <c r="H379" t="s">
        <v>150</v>
      </c>
      <c r="I379" s="7">
        <v>49689</v>
      </c>
      <c r="J379" t="s">
        <v>20</v>
      </c>
      <c r="K379" s="12">
        <v>7800</v>
      </c>
      <c r="L379" t="s">
        <v>0</v>
      </c>
      <c r="M379" s="12">
        <v>112426.6</v>
      </c>
      <c r="N379" t="s">
        <v>1</v>
      </c>
      <c r="O379" s="12">
        <v>14.41</v>
      </c>
      <c r="P379" s="12">
        <v>21627.57</v>
      </c>
      <c r="Q379" s="12">
        <v>2.77</v>
      </c>
    </row>
    <row r="380" spans="1:17" x14ac:dyDescent="0.2">
      <c r="A380" t="s">
        <v>29</v>
      </c>
      <c r="B380" t="s">
        <v>30</v>
      </c>
      <c r="C380" s="5">
        <v>51056778.480000004</v>
      </c>
      <c r="D380" s="2">
        <v>44946</v>
      </c>
      <c r="E380" s="5">
        <f t="shared" si="9"/>
        <v>107219234.80800001</v>
      </c>
      <c r="F380" s="2">
        <v>44949</v>
      </c>
      <c r="G380" s="3" t="s">
        <v>506</v>
      </c>
      <c r="H380" t="s">
        <v>205</v>
      </c>
      <c r="I380" s="7">
        <v>49689</v>
      </c>
      <c r="J380" t="s">
        <v>20</v>
      </c>
      <c r="K380" s="12">
        <v>1627</v>
      </c>
      <c r="L380" t="s">
        <v>0</v>
      </c>
      <c r="M380" s="12">
        <v>27390.55</v>
      </c>
      <c r="N380" t="s">
        <v>1</v>
      </c>
      <c r="O380" s="12">
        <v>16.84</v>
      </c>
      <c r="P380" s="12">
        <v>5269.14</v>
      </c>
      <c r="Q380" s="12">
        <v>3.24</v>
      </c>
    </row>
    <row r="381" spans="1:17" x14ac:dyDescent="0.2">
      <c r="A381" t="s">
        <v>29</v>
      </c>
      <c r="B381" t="s">
        <v>30</v>
      </c>
      <c r="C381" s="5">
        <v>51056780.43</v>
      </c>
      <c r="D381" s="2">
        <v>44872</v>
      </c>
      <c r="E381" s="5">
        <f t="shared" si="9"/>
        <v>107219238.903</v>
      </c>
      <c r="F381" s="2">
        <v>44949</v>
      </c>
      <c r="G381" s="3" t="s">
        <v>507</v>
      </c>
      <c r="H381" t="s">
        <v>206</v>
      </c>
      <c r="I381" s="7">
        <v>49689</v>
      </c>
      <c r="J381" t="s">
        <v>20</v>
      </c>
      <c r="K381" s="12">
        <v>9000</v>
      </c>
      <c r="L381" t="s">
        <v>0</v>
      </c>
      <c r="M381" s="12">
        <v>40213.5</v>
      </c>
      <c r="N381" t="s">
        <v>1</v>
      </c>
      <c r="O381" s="12">
        <v>4.47</v>
      </c>
      <c r="P381" s="12">
        <v>7735.89</v>
      </c>
      <c r="Q381" s="12">
        <v>0.86</v>
      </c>
    </row>
    <row r="382" spans="1:17" x14ac:dyDescent="0.2">
      <c r="A382" t="s">
        <v>29</v>
      </c>
      <c r="B382" t="s">
        <v>30</v>
      </c>
      <c r="C382" s="5">
        <v>51056781.719999999</v>
      </c>
      <c r="D382" s="2">
        <v>44944</v>
      </c>
      <c r="E382" s="5">
        <f t="shared" si="9"/>
        <v>107219241.612</v>
      </c>
      <c r="F382" s="2">
        <v>44949</v>
      </c>
      <c r="G382" s="3" t="s">
        <v>322</v>
      </c>
      <c r="H382" t="s">
        <v>32</v>
      </c>
      <c r="I382" s="7">
        <v>49689</v>
      </c>
      <c r="J382" t="s">
        <v>20</v>
      </c>
      <c r="K382" s="12">
        <v>37800</v>
      </c>
      <c r="L382" t="s">
        <v>0</v>
      </c>
      <c r="M382" s="12">
        <v>642600</v>
      </c>
      <c r="N382" t="s">
        <v>1</v>
      </c>
      <c r="O382" s="12">
        <v>17</v>
      </c>
      <c r="P382" s="12">
        <v>123617.34</v>
      </c>
      <c r="Q382" s="12">
        <v>3.27</v>
      </c>
    </row>
    <row r="383" spans="1:17" x14ac:dyDescent="0.2">
      <c r="A383" t="s">
        <v>29</v>
      </c>
      <c r="B383" t="s">
        <v>30</v>
      </c>
      <c r="C383" s="5">
        <v>51056781.730000004</v>
      </c>
      <c r="D383" s="2">
        <v>44944</v>
      </c>
      <c r="E383" s="5">
        <f t="shared" si="9"/>
        <v>107219241.63300002</v>
      </c>
      <c r="F383" s="2">
        <v>44949</v>
      </c>
      <c r="G383" s="3" t="s">
        <v>508</v>
      </c>
      <c r="H383" t="s">
        <v>207</v>
      </c>
      <c r="I383" s="7">
        <v>49689</v>
      </c>
      <c r="J383" t="s">
        <v>20</v>
      </c>
      <c r="K383" s="12">
        <v>2230</v>
      </c>
      <c r="L383" t="s">
        <v>0</v>
      </c>
      <c r="M383" s="12">
        <v>38289.1</v>
      </c>
      <c r="N383" t="s">
        <v>1</v>
      </c>
      <c r="O383" s="12">
        <v>17.170000000000002</v>
      </c>
      <c r="P383" s="12">
        <v>7365.7</v>
      </c>
      <c r="Q383" s="12">
        <v>3.3</v>
      </c>
    </row>
    <row r="384" spans="1:17" x14ac:dyDescent="0.2">
      <c r="A384" t="s">
        <v>29</v>
      </c>
      <c r="B384" t="s">
        <v>30</v>
      </c>
      <c r="C384" s="5">
        <v>51056782.5</v>
      </c>
      <c r="D384" s="2">
        <v>44944</v>
      </c>
      <c r="E384" s="5">
        <f t="shared" si="9"/>
        <v>107219243.25</v>
      </c>
      <c r="F384" s="2">
        <v>44949</v>
      </c>
      <c r="G384" s="3" t="s">
        <v>322</v>
      </c>
      <c r="H384" t="s">
        <v>32</v>
      </c>
      <c r="I384" s="7">
        <v>49689</v>
      </c>
      <c r="J384" t="s">
        <v>20</v>
      </c>
      <c r="K384" s="12">
        <v>31980</v>
      </c>
      <c r="L384" t="s">
        <v>0</v>
      </c>
      <c r="M384" s="12">
        <v>543660</v>
      </c>
      <c r="N384" t="s">
        <v>1</v>
      </c>
      <c r="O384" s="12">
        <v>17</v>
      </c>
      <c r="P384" s="12">
        <v>104584.19</v>
      </c>
      <c r="Q384" s="12">
        <v>3.27</v>
      </c>
    </row>
    <row r="385" spans="1:17" x14ac:dyDescent="0.2">
      <c r="A385" t="s">
        <v>29</v>
      </c>
      <c r="B385" t="s">
        <v>30</v>
      </c>
      <c r="C385" s="5">
        <v>51056782.910000004</v>
      </c>
      <c r="D385" s="2">
        <v>44945</v>
      </c>
      <c r="E385" s="5">
        <f t="shared" si="9"/>
        <v>107219244.11100002</v>
      </c>
      <c r="F385" s="2">
        <v>44949</v>
      </c>
      <c r="G385" s="3" t="s">
        <v>509</v>
      </c>
      <c r="H385" t="s">
        <v>208</v>
      </c>
      <c r="I385" s="7">
        <v>49689</v>
      </c>
      <c r="J385" t="s">
        <v>20</v>
      </c>
      <c r="K385" s="12">
        <v>6000</v>
      </c>
      <c r="L385" t="s">
        <v>0</v>
      </c>
      <c r="M385" s="12">
        <v>107280</v>
      </c>
      <c r="N385" t="s">
        <v>1</v>
      </c>
      <c r="O385" s="12">
        <v>17.88</v>
      </c>
      <c r="P385" s="12">
        <v>20637.52</v>
      </c>
      <c r="Q385" s="12">
        <v>3.44</v>
      </c>
    </row>
    <row r="386" spans="1:17" x14ac:dyDescent="0.2">
      <c r="A386" t="s">
        <v>29</v>
      </c>
      <c r="B386" t="s">
        <v>30</v>
      </c>
      <c r="C386" s="5">
        <v>51056782.93</v>
      </c>
      <c r="D386" s="2">
        <v>44945</v>
      </c>
      <c r="E386" s="5">
        <f t="shared" si="9"/>
        <v>107219244.153</v>
      </c>
      <c r="F386" s="2">
        <v>44949</v>
      </c>
      <c r="G386" s="3" t="s">
        <v>322</v>
      </c>
      <c r="H386" t="s">
        <v>32</v>
      </c>
      <c r="I386" s="7">
        <v>49689</v>
      </c>
      <c r="J386" t="s">
        <v>20</v>
      </c>
      <c r="K386" s="12">
        <v>30000</v>
      </c>
      <c r="L386" t="s">
        <v>0</v>
      </c>
      <c r="M386" s="12">
        <v>517500</v>
      </c>
      <c r="N386" t="s">
        <v>1</v>
      </c>
      <c r="O386" s="12">
        <v>17.25</v>
      </c>
      <c r="P386" s="12">
        <v>99551.78</v>
      </c>
      <c r="Q386" s="12">
        <v>3.32</v>
      </c>
    </row>
    <row r="387" spans="1:17" x14ac:dyDescent="0.2">
      <c r="A387" t="s">
        <v>29</v>
      </c>
      <c r="B387" t="s">
        <v>30</v>
      </c>
      <c r="C387" s="5">
        <v>51056782.950000003</v>
      </c>
      <c r="D387" s="2">
        <v>44945</v>
      </c>
      <c r="E387" s="5">
        <f t="shared" si="9"/>
        <v>107219244.19500001</v>
      </c>
      <c r="F387" s="2">
        <v>44949</v>
      </c>
      <c r="G387" s="3" t="s">
        <v>322</v>
      </c>
      <c r="H387" t="s">
        <v>32</v>
      </c>
      <c r="I387" s="7">
        <v>49689</v>
      </c>
      <c r="J387" t="s">
        <v>20</v>
      </c>
      <c r="K387" s="12">
        <v>30000</v>
      </c>
      <c r="L387" t="s">
        <v>0</v>
      </c>
      <c r="M387" s="12">
        <v>517500</v>
      </c>
      <c r="N387" t="s">
        <v>1</v>
      </c>
      <c r="O387" s="12">
        <v>17.25</v>
      </c>
      <c r="P387" s="12">
        <v>99551.78</v>
      </c>
      <c r="Q387" s="12">
        <v>3.32</v>
      </c>
    </row>
    <row r="388" spans="1:17" x14ac:dyDescent="0.2">
      <c r="A388" t="s">
        <v>29</v>
      </c>
      <c r="B388" t="s">
        <v>30</v>
      </c>
      <c r="C388" s="5">
        <v>51056783.310000002</v>
      </c>
      <c r="D388" s="2">
        <v>44945</v>
      </c>
      <c r="E388" s="5">
        <f t="shared" si="9"/>
        <v>107219244.95100001</v>
      </c>
      <c r="F388" s="2">
        <v>44949</v>
      </c>
      <c r="G388" s="3" t="s">
        <v>510</v>
      </c>
      <c r="H388" t="s">
        <v>209</v>
      </c>
      <c r="I388" s="7">
        <v>35334</v>
      </c>
      <c r="J388" t="s">
        <v>24</v>
      </c>
      <c r="K388" s="12">
        <v>15</v>
      </c>
      <c r="L388" t="s">
        <v>2</v>
      </c>
      <c r="M388" s="12">
        <v>211909.88</v>
      </c>
      <c r="N388" t="s">
        <v>1</v>
      </c>
      <c r="O388" s="12">
        <v>14127.33</v>
      </c>
      <c r="P388" s="12">
        <v>40643.410000000003</v>
      </c>
      <c r="Q388" s="12">
        <v>2709.56</v>
      </c>
    </row>
    <row r="389" spans="1:17" x14ac:dyDescent="0.2">
      <c r="A389" t="s">
        <v>29</v>
      </c>
      <c r="B389" t="s">
        <v>30</v>
      </c>
      <c r="C389" s="5">
        <v>51056784.109999999</v>
      </c>
      <c r="D389" s="2">
        <v>44946</v>
      </c>
      <c r="E389" s="5">
        <f t="shared" si="9"/>
        <v>107219246.631</v>
      </c>
      <c r="F389" s="2">
        <v>44949</v>
      </c>
      <c r="G389" s="3" t="s">
        <v>511</v>
      </c>
      <c r="H389" t="s">
        <v>210</v>
      </c>
      <c r="I389" s="7">
        <v>49689</v>
      </c>
      <c r="J389" t="s">
        <v>20</v>
      </c>
      <c r="K389" s="12">
        <v>3498</v>
      </c>
      <c r="L389" t="s">
        <v>0</v>
      </c>
      <c r="M389" s="12">
        <v>58629.98</v>
      </c>
      <c r="N389" t="s">
        <v>1</v>
      </c>
      <c r="O389" s="12">
        <v>16.760000000000002</v>
      </c>
      <c r="P389" s="12">
        <v>11278.68</v>
      </c>
      <c r="Q389" s="12">
        <v>3.22</v>
      </c>
    </row>
    <row r="390" spans="1:17" x14ac:dyDescent="0.2">
      <c r="A390" t="s">
        <v>29</v>
      </c>
      <c r="B390" t="s">
        <v>30</v>
      </c>
      <c r="C390" s="5">
        <v>51056784.75</v>
      </c>
      <c r="D390" s="2">
        <v>44946</v>
      </c>
      <c r="E390" s="5">
        <f t="shared" si="9"/>
        <v>107219247.97500001</v>
      </c>
      <c r="F390" s="2">
        <v>44949</v>
      </c>
      <c r="G390" s="3" t="s">
        <v>512</v>
      </c>
      <c r="H390" t="s">
        <v>211</v>
      </c>
      <c r="I390" s="7">
        <v>49689</v>
      </c>
      <c r="J390" t="s">
        <v>20</v>
      </c>
      <c r="K390" s="12">
        <v>9000</v>
      </c>
      <c r="L390" t="s">
        <v>0</v>
      </c>
      <c r="M390" s="12">
        <v>150752.70000000001</v>
      </c>
      <c r="N390" t="s">
        <v>1</v>
      </c>
      <c r="O390" s="12">
        <v>16.75</v>
      </c>
      <c r="P390" s="12">
        <v>29000.38</v>
      </c>
      <c r="Q390" s="12">
        <v>3.22</v>
      </c>
    </row>
    <row r="391" spans="1:17" x14ac:dyDescent="0.2">
      <c r="A391" t="s">
        <v>29</v>
      </c>
      <c r="B391" t="s">
        <v>30</v>
      </c>
      <c r="C391" s="5">
        <v>51056785.149999999</v>
      </c>
      <c r="D391" s="2">
        <v>44946</v>
      </c>
      <c r="E391" s="5">
        <f t="shared" si="9"/>
        <v>107219248.815</v>
      </c>
      <c r="F391" s="2">
        <v>44949</v>
      </c>
      <c r="G391" s="3" t="s">
        <v>325</v>
      </c>
      <c r="H391" t="s">
        <v>35</v>
      </c>
      <c r="I391" s="7">
        <v>49689</v>
      </c>
      <c r="J391" t="s">
        <v>20</v>
      </c>
      <c r="K391" s="12">
        <v>5100</v>
      </c>
      <c r="L391" t="s">
        <v>0</v>
      </c>
      <c r="M391" s="12">
        <v>79900</v>
      </c>
      <c r="N391" t="s">
        <v>1</v>
      </c>
      <c r="O391" s="12">
        <v>15.67</v>
      </c>
      <c r="P391" s="12">
        <v>15370.41</v>
      </c>
      <c r="Q391" s="12">
        <v>3.01</v>
      </c>
    </row>
    <row r="392" spans="1:17" x14ac:dyDescent="0.2">
      <c r="A392" t="s">
        <v>29</v>
      </c>
      <c r="B392" t="s">
        <v>30</v>
      </c>
      <c r="C392" s="5">
        <v>51056785.640000001</v>
      </c>
      <c r="D392" s="2">
        <v>44949</v>
      </c>
      <c r="E392" s="5">
        <f t="shared" si="9"/>
        <v>107219249.84400001</v>
      </c>
      <c r="F392" s="2">
        <v>44949</v>
      </c>
      <c r="G392" s="3" t="s">
        <v>513</v>
      </c>
      <c r="H392" t="s">
        <v>94</v>
      </c>
      <c r="I392" s="7">
        <v>49689</v>
      </c>
      <c r="J392" t="s">
        <v>20</v>
      </c>
      <c r="K392" s="12">
        <v>1920</v>
      </c>
      <c r="L392" t="s">
        <v>0</v>
      </c>
      <c r="M392" s="12">
        <v>30942.53</v>
      </c>
      <c r="N392" t="s">
        <v>1</v>
      </c>
      <c r="O392" s="12">
        <v>16.12</v>
      </c>
      <c r="P392" s="12">
        <v>5952.43</v>
      </c>
      <c r="Q392" s="12">
        <v>3.1</v>
      </c>
    </row>
    <row r="393" spans="1:17" x14ac:dyDescent="0.2">
      <c r="A393" t="s">
        <v>29</v>
      </c>
      <c r="B393" t="s">
        <v>30</v>
      </c>
      <c r="C393" s="5">
        <v>51056785.649999999</v>
      </c>
      <c r="D393" s="2">
        <v>44949</v>
      </c>
      <c r="E393" s="5">
        <f t="shared" si="9"/>
        <v>107219249.86499999</v>
      </c>
      <c r="F393" s="2">
        <v>44949</v>
      </c>
      <c r="G393" s="3" t="s">
        <v>420</v>
      </c>
      <c r="H393" t="s">
        <v>125</v>
      </c>
      <c r="I393" s="7">
        <v>49689</v>
      </c>
      <c r="J393" t="s">
        <v>20</v>
      </c>
      <c r="K393" s="12">
        <v>14400</v>
      </c>
      <c r="L393" t="s">
        <v>0</v>
      </c>
      <c r="M393" s="12">
        <v>251020.79999999999</v>
      </c>
      <c r="N393" t="s">
        <v>1</v>
      </c>
      <c r="O393" s="12">
        <v>17.43</v>
      </c>
      <c r="P393" s="12">
        <v>48289.02</v>
      </c>
      <c r="Q393" s="12">
        <v>3.35</v>
      </c>
    </row>
    <row r="394" spans="1:17" x14ac:dyDescent="0.2">
      <c r="A394" t="s">
        <v>29</v>
      </c>
      <c r="B394" t="s">
        <v>30</v>
      </c>
      <c r="C394" s="5">
        <v>51056786.020000003</v>
      </c>
      <c r="D394" s="2">
        <v>44945</v>
      </c>
      <c r="E394" s="5">
        <f t="shared" si="9"/>
        <v>107219250.642</v>
      </c>
      <c r="F394" s="2">
        <v>44949</v>
      </c>
      <c r="G394" s="3" t="s">
        <v>366</v>
      </c>
      <c r="H394" t="s">
        <v>75</v>
      </c>
      <c r="I394" s="7">
        <v>49738</v>
      </c>
      <c r="J394" t="s">
        <v>21</v>
      </c>
      <c r="K394" s="12">
        <v>9600</v>
      </c>
      <c r="L394" t="s">
        <v>0</v>
      </c>
      <c r="M394" s="12">
        <v>105958.39999999999</v>
      </c>
      <c r="N394" t="s">
        <v>1</v>
      </c>
      <c r="O394" s="12">
        <v>11.04</v>
      </c>
      <c r="P394" s="12">
        <v>20383.28</v>
      </c>
      <c r="Q394" s="12">
        <v>2.12</v>
      </c>
    </row>
    <row r="395" spans="1:17" x14ac:dyDescent="0.2">
      <c r="A395" t="s">
        <v>29</v>
      </c>
      <c r="B395" t="s">
        <v>30</v>
      </c>
      <c r="C395" s="5">
        <v>51056786.530000001</v>
      </c>
      <c r="D395" s="2">
        <v>44945</v>
      </c>
      <c r="E395" s="5">
        <f t="shared" si="9"/>
        <v>107219251.71300001</v>
      </c>
      <c r="F395" s="2">
        <v>44949</v>
      </c>
      <c r="G395" s="3" t="s">
        <v>321</v>
      </c>
      <c r="H395" t="s">
        <v>31</v>
      </c>
      <c r="I395" s="7">
        <v>49689</v>
      </c>
      <c r="J395" t="s">
        <v>20</v>
      </c>
      <c r="K395" s="12">
        <v>7200</v>
      </c>
      <c r="L395" t="s">
        <v>0</v>
      </c>
      <c r="M395" s="12">
        <v>125553.60000000001</v>
      </c>
      <c r="N395" t="s">
        <v>1</v>
      </c>
      <c r="O395" s="12">
        <v>17.440000000000001</v>
      </c>
      <c r="P395" s="12">
        <v>24152.82</v>
      </c>
      <c r="Q395" s="12">
        <v>3.35</v>
      </c>
    </row>
    <row r="396" spans="1:17" x14ac:dyDescent="0.2">
      <c r="A396" t="s">
        <v>29</v>
      </c>
      <c r="B396" t="s">
        <v>30</v>
      </c>
      <c r="C396" s="5">
        <v>51056787.600000001</v>
      </c>
      <c r="D396" s="2">
        <v>44949</v>
      </c>
      <c r="E396" s="5">
        <f t="shared" si="9"/>
        <v>107219253.96000001</v>
      </c>
      <c r="F396" s="2">
        <v>44949</v>
      </c>
      <c r="G396" s="3" t="s">
        <v>475</v>
      </c>
      <c r="H396" t="s">
        <v>177</v>
      </c>
      <c r="I396" s="7">
        <v>49689</v>
      </c>
      <c r="J396" t="s">
        <v>20</v>
      </c>
      <c r="K396" s="12">
        <v>1920</v>
      </c>
      <c r="L396" t="s">
        <v>0</v>
      </c>
      <c r="M396" s="12">
        <v>34310.400000000001</v>
      </c>
      <c r="N396" t="s">
        <v>1</v>
      </c>
      <c r="O396" s="12">
        <v>17.87</v>
      </c>
      <c r="P396" s="12">
        <v>6600.31</v>
      </c>
      <c r="Q396" s="12">
        <v>3.44</v>
      </c>
    </row>
    <row r="397" spans="1:17" x14ac:dyDescent="0.2">
      <c r="A397" t="s">
        <v>29</v>
      </c>
      <c r="B397" t="s">
        <v>30</v>
      </c>
      <c r="C397" s="5">
        <v>51056788.630000003</v>
      </c>
      <c r="D397" s="2">
        <v>44950</v>
      </c>
      <c r="E397" s="5">
        <f t="shared" si="9"/>
        <v>107219256.12300001</v>
      </c>
      <c r="F397" s="2">
        <v>44949</v>
      </c>
      <c r="G397" s="3" t="s">
        <v>326</v>
      </c>
      <c r="H397" t="s">
        <v>36</v>
      </c>
      <c r="I397" s="7">
        <v>35333</v>
      </c>
      <c r="J397" t="s">
        <v>22</v>
      </c>
      <c r="K397" s="12">
        <v>5</v>
      </c>
      <c r="L397" t="s">
        <v>2</v>
      </c>
      <c r="M397" s="12">
        <v>62895.63</v>
      </c>
      <c r="N397" t="s">
        <v>1</v>
      </c>
      <c r="O397" s="12">
        <v>12579.13</v>
      </c>
      <c r="P397" s="12">
        <v>12099.26</v>
      </c>
      <c r="Q397" s="12">
        <v>2419.85</v>
      </c>
    </row>
    <row r="398" spans="1:17" x14ac:dyDescent="0.2">
      <c r="A398" t="s">
        <v>29</v>
      </c>
      <c r="B398" t="s">
        <v>30</v>
      </c>
      <c r="C398" s="5">
        <v>51056788.660000004</v>
      </c>
      <c r="D398" s="2">
        <v>44946</v>
      </c>
      <c r="E398" s="5">
        <f t="shared" si="9"/>
        <v>107219256.18600002</v>
      </c>
      <c r="F398" s="2">
        <v>44949</v>
      </c>
      <c r="G398" s="3" t="s">
        <v>480</v>
      </c>
      <c r="H398" t="s">
        <v>182</v>
      </c>
      <c r="I398" s="7">
        <v>35333</v>
      </c>
      <c r="J398" t="s">
        <v>22</v>
      </c>
      <c r="K398" s="12">
        <v>2</v>
      </c>
      <c r="L398" t="s">
        <v>2</v>
      </c>
      <c r="M398" s="12">
        <v>27867.599999999999</v>
      </c>
      <c r="N398" t="s">
        <v>1</v>
      </c>
      <c r="O398" s="12">
        <v>13933.8</v>
      </c>
      <c r="P398" s="12">
        <v>5360.91</v>
      </c>
      <c r="Q398" s="12">
        <v>2680.46</v>
      </c>
    </row>
    <row r="399" spans="1:17" x14ac:dyDescent="0.2">
      <c r="A399" t="s">
        <v>29</v>
      </c>
      <c r="B399" t="s">
        <v>30</v>
      </c>
      <c r="C399" s="5">
        <v>51056788.670000002</v>
      </c>
      <c r="D399" s="2">
        <v>44944</v>
      </c>
      <c r="E399" s="5">
        <f t="shared" si="9"/>
        <v>107219256.207</v>
      </c>
      <c r="F399" s="2">
        <v>44949</v>
      </c>
      <c r="G399" s="3" t="s">
        <v>514</v>
      </c>
      <c r="H399" t="s">
        <v>212</v>
      </c>
      <c r="I399" s="7">
        <v>49689</v>
      </c>
      <c r="J399" t="s">
        <v>20</v>
      </c>
      <c r="K399" s="12">
        <v>3776</v>
      </c>
      <c r="L399" t="s">
        <v>0</v>
      </c>
      <c r="M399" s="12">
        <v>61351.69</v>
      </c>
      <c r="N399" t="s">
        <v>1</v>
      </c>
      <c r="O399" s="12">
        <v>16.25</v>
      </c>
      <c r="P399" s="12">
        <v>11802.26</v>
      </c>
      <c r="Q399" s="12">
        <v>3.13</v>
      </c>
    </row>
    <row r="400" spans="1:17" x14ac:dyDescent="0.2">
      <c r="A400" t="s">
        <v>29</v>
      </c>
      <c r="B400" t="s">
        <v>30</v>
      </c>
      <c r="C400" s="5">
        <v>51056799.920000002</v>
      </c>
      <c r="D400" s="2">
        <v>44949</v>
      </c>
      <c r="E400" s="5">
        <f t="shared" si="9"/>
        <v>107219279.832</v>
      </c>
      <c r="F400" s="2">
        <v>44950</v>
      </c>
      <c r="G400" s="3" t="s">
        <v>515</v>
      </c>
      <c r="H400" t="s">
        <v>98</v>
      </c>
      <c r="I400" s="7">
        <v>49738</v>
      </c>
      <c r="J400" t="s">
        <v>21</v>
      </c>
      <c r="K400" s="12">
        <v>5400</v>
      </c>
      <c r="L400" t="s">
        <v>0</v>
      </c>
      <c r="M400" s="12">
        <v>49059.9</v>
      </c>
      <c r="N400" t="s">
        <v>1</v>
      </c>
      <c r="O400" s="12">
        <v>9.09</v>
      </c>
      <c r="P400" s="12">
        <v>9449.32</v>
      </c>
      <c r="Q400" s="12">
        <v>1.75</v>
      </c>
    </row>
    <row r="401" spans="1:17" x14ac:dyDescent="0.2">
      <c r="A401" t="s">
        <v>29</v>
      </c>
      <c r="B401" t="s">
        <v>30</v>
      </c>
      <c r="C401" s="5">
        <v>51056799.93</v>
      </c>
      <c r="D401" s="2">
        <v>44949</v>
      </c>
      <c r="E401" s="5">
        <f t="shared" si="9"/>
        <v>107219279.853</v>
      </c>
      <c r="F401" s="2">
        <v>44950</v>
      </c>
      <c r="G401" s="3" t="s">
        <v>330</v>
      </c>
      <c r="H401" t="s">
        <v>40</v>
      </c>
      <c r="I401" s="7">
        <v>49689</v>
      </c>
      <c r="J401" t="s">
        <v>20</v>
      </c>
      <c r="K401" s="12">
        <v>10200</v>
      </c>
      <c r="L401" t="s">
        <v>0</v>
      </c>
      <c r="M401" s="12">
        <v>161500</v>
      </c>
      <c r="N401" t="s">
        <v>1</v>
      </c>
      <c r="O401" s="12">
        <v>15.83</v>
      </c>
      <c r="P401" s="12">
        <v>31106.15</v>
      </c>
      <c r="Q401" s="12">
        <v>3.05</v>
      </c>
    </row>
    <row r="402" spans="1:17" x14ac:dyDescent="0.2">
      <c r="A402" t="s">
        <v>29</v>
      </c>
      <c r="B402" t="s">
        <v>30</v>
      </c>
      <c r="C402" s="5">
        <v>51056803.079999998</v>
      </c>
      <c r="D402" s="2">
        <v>44950</v>
      </c>
      <c r="E402" s="5">
        <f t="shared" si="9"/>
        <v>107219286.46799999</v>
      </c>
      <c r="F402" s="2">
        <v>44950</v>
      </c>
      <c r="G402" s="3" t="s">
        <v>335</v>
      </c>
      <c r="H402" t="s">
        <v>45</v>
      </c>
      <c r="I402" s="7">
        <v>35334</v>
      </c>
      <c r="J402" t="s">
        <v>24</v>
      </c>
      <c r="K402" s="12">
        <v>3.6</v>
      </c>
      <c r="L402" t="s">
        <v>2</v>
      </c>
      <c r="M402" s="12">
        <v>49221.15</v>
      </c>
      <c r="N402" t="s">
        <v>1</v>
      </c>
      <c r="O402" s="12">
        <v>13672.54</v>
      </c>
      <c r="P402" s="12">
        <v>6701.46</v>
      </c>
      <c r="Q402" s="12">
        <v>1861.52</v>
      </c>
    </row>
    <row r="403" spans="1:17" x14ac:dyDescent="0.2">
      <c r="A403" t="s">
        <v>29</v>
      </c>
      <c r="B403" t="s">
        <v>30</v>
      </c>
      <c r="C403" s="5">
        <v>51056803.100000001</v>
      </c>
      <c r="D403" s="2">
        <v>44950</v>
      </c>
      <c r="E403" s="5">
        <f t="shared" si="9"/>
        <v>107219286.51000001</v>
      </c>
      <c r="F403" s="2">
        <v>44950</v>
      </c>
      <c r="G403" s="3" t="s">
        <v>335</v>
      </c>
      <c r="H403" t="s">
        <v>45</v>
      </c>
      <c r="I403" s="7">
        <v>35334</v>
      </c>
      <c r="J403" t="s">
        <v>24</v>
      </c>
      <c r="K403" s="12">
        <v>3.6</v>
      </c>
      <c r="L403" t="s">
        <v>2</v>
      </c>
      <c r="M403" s="12">
        <v>49221.15</v>
      </c>
      <c r="N403" t="s">
        <v>1</v>
      </c>
      <c r="O403" s="12">
        <v>13672.54</v>
      </c>
      <c r="P403" s="12">
        <v>6701.46</v>
      </c>
      <c r="Q403" s="12">
        <v>1861.52</v>
      </c>
    </row>
    <row r="404" spans="1:17" x14ac:dyDescent="0.2">
      <c r="A404" t="s">
        <v>29</v>
      </c>
      <c r="B404" t="s">
        <v>30</v>
      </c>
      <c r="C404" s="5">
        <v>51056804.340000004</v>
      </c>
      <c r="D404" s="2">
        <v>44950</v>
      </c>
      <c r="E404" s="5">
        <f t="shared" si="9"/>
        <v>107219289.11400001</v>
      </c>
      <c r="F404" s="2">
        <v>44950</v>
      </c>
      <c r="G404" s="3" t="s">
        <v>335</v>
      </c>
      <c r="H404" t="s">
        <v>45</v>
      </c>
      <c r="I404" s="7">
        <v>35334</v>
      </c>
      <c r="J404" t="s">
        <v>24</v>
      </c>
      <c r="K404" s="12">
        <v>3.6</v>
      </c>
      <c r="L404" t="s">
        <v>2</v>
      </c>
      <c r="M404" s="12">
        <v>49221.15</v>
      </c>
      <c r="N404" t="s">
        <v>1</v>
      </c>
      <c r="O404" s="12">
        <v>13672.54</v>
      </c>
      <c r="P404" s="12">
        <v>6701.46</v>
      </c>
      <c r="Q404" s="12">
        <v>1861.52</v>
      </c>
    </row>
    <row r="405" spans="1:17" x14ac:dyDescent="0.2">
      <c r="A405" t="s">
        <v>29</v>
      </c>
      <c r="B405" t="s">
        <v>30</v>
      </c>
      <c r="C405" s="5">
        <v>51056804.359999999</v>
      </c>
      <c r="D405" s="2">
        <v>44950</v>
      </c>
      <c r="E405" s="5">
        <f t="shared" si="9"/>
        <v>107219289.156</v>
      </c>
      <c r="F405" s="2">
        <v>44950</v>
      </c>
      <c r="G405" s="3" t="s">
        <v>326</v>
      </c>
      <c r="H405" t="s">
        <v>36</v>
      </c>
      <c r="I405" s="7">
        <v>35333</v>
      </c>
      <c r="J405" t="s">
        <v>22</v>
      </c>
      <c r="K405" s="12">
        <v>2.7930000000000001</v>
      </c>
      <c r="L405" t="s">
        <v>2</v>
      </c>
      <c r="M405" s="12">
        <v>35133.5</v>
      </c>
      <c r="N405" t="s">
        <v>1</v>
      </c>
      <c r="O405" s="12">
        <v>12579.13</v>
      </c>
      <c r="P405" s="12">
        <v>6758.65</v>
      </c>
      <c r="Q405" s="12">
        <v>2419.85</v>
      </c>
    </row>
    <row r="406" spans="1:17" x14ac:dyDescent="0.2">
      <c r="A406" t="s">
        <v>29</v>
      </c>
      <c r="B406" t="s">
        <v>30</v>
      </c>
      <c r="C406" s="5">
        <v>51056804.960000001</v>
      </c>
      <c r="D406" s="2">
        <v>44950</v>
      </c>
      <c r="E406" s="5">
        <f t="shared" si="9"/>
        <v>107219290.41600001</v>
      </c>
      <c r="F406" s="2">
        <v>44950</v>
      </c>
      <c r="G406" s="3" t="s">
        <v>335</v>
      </c>
      <c r="H406" t="s">
        <v>45</v>
      </c>
      <c r="I406" s="7">
        <v>35334</v>
      </c>
      <c r="J406" t="s">
        <v>24</v>
      </c>
      <c r="K406" s="12">
        <v>3</v>
      </c>
      <c r="L406" t="s">
        <v>2</v>
      </c>
      <c r="M406" s="12">
        <v>41017.620000000003</v>
      </c>
      <c r="N406" t="s">
        <v>1</v>
      </c>
      <c r="O406" s="12">
        <v>13672.54</v>
      </c>
      <c r="P406" s="12">
        <v>5731.99</v>
      </c>
      <c r="Q406" s="12">
        <v>1910.66</v>
      </c>
    </row>
    <row r="407" spans="1:17" x14ac:dyDescent="0.2">
      <c r="A407" t="s">
        <v>29</v>
      </c>
      <c r="B407" t="s">
        <v>30</v>
      </c>
      <c r="C407" s="5">
        <v>51056805.450000003</v>
      </c>
      <c r="D407" s="2">
        <v>44950</v>
      </c>
      <c r="E407" s="5">
        <f t="shared" si="9"/>
        <v>107219291.44500001</v>
      </c>
      <c r="F407" s="2">
        <v>44950</v>
      </c>
      <c r="G407" s="3" t="s">
        <v>326</v>
      </c>
      <c r="H407" t="s">
        <v>36</v>
      </c>
      <c r="I407" s="7">
        <v>35333</v>
      </c>
      <c r="J407" t="s">
        <v>22</v>
      </c>
      <c r="K407" s="12">
        <v>2.4060000000000001</v>
      </c>
      <c r="L407" t="s">
        <v>2</v>
      </c>
      <c r="M407" s="12">
        <v>30265.39</v>
      </c>
      <c r="N407" t="s">
        <v>1</v>
      </c>
      <c r="O407" s="12">
        <v>12579.13</v>
      </c>
      <c r="P407" s="12">
        <v>5822.17</v>
      </c>
      <c r="Q407" s="12">
        <v>2419.85</v>
      </c>
    </row>
    <row r="408" spans="1:17" x14ac:dyDescent="0.2">
      <c r="A408" t="s">
        <v>29</v>
      </c>
      <c r="B408" t="s">
        <v>30</v>
      </c>
      <c r="C408" s="5">
        <v>51056807.310000002</v>
      </c>
      <c r="D408" s="2">
        <v>44949</v>
      </c>
      <c r="E408" s="5">
        <f t="shared" si="9"/>
        <v>107219295.35100001</v>
      </c>
      <c r="F408" s="2">
        <v>44950</v>
      </c>
      <c r="G408" s="3" t="s">
        <v>330</v>
      </c>
      <c r="H408" t="s">
        <v>40</v>
      </c>
      <c r="I408" s="7">
        <v>49689</v>
      </c>
      <c r="J408" t="s">
        <v>20</v>
      </c>
      <c r="K408" s="12">
        <v>7200</v>
      </c>
      <c r="L408" t="s">
        <v>0</v>
      </c>
      <c r="M408" s="12">
        <v>112200</v>
      </c>
      <c r="N408" t="s">
        <v>1</v>
      </c>
      <c r="O408" s="12">
        <v>15.58</v>
      </c>
      <c r="P408" s="12">
        <v>21610.59</v>
      </c>
      <c r="Q408" s="12">
        <v>3</v>
      </c>
    </row>
    <row r="409" spans="1:17" x14ac:dyDescent="0.2">
      <c r="A409" t="s">
        <v>29</v>
      </c>
      <c r="B409" t="s">
        <v>30</v>
      </c>
      <c r="C409" s="5">
        <v>51056807.380000003</v>
      </c>
      <c r="D409" s="2">
        <v>44946</v>
      </c>
      <c r="E409" s="5">
        <f t="shared" si="9"/>
        <v>107219295.49800001</v>
      </c>
      <c r="F409" s="2">
        <v>44950</v>
      </c>
      <c r="G409" s="3" t="s">
        <v>516</v>
      </c>
      <c r="H409" t="s">
        <v>213</v>
      </c>
      <c r="I409" s="7">
        <v>49731</v>
      </c>
      <c r="J409" t="s">
        <v>23</v>
      </c>
      <c r="K409" s="12">
        <v>30600</v>
      </c>
      <c r="L409" t="s">
        <v>0</v>
      </c>
      <c r="M409" s="12">
        <v>569545.56000000006</v>
      </c>
      <c r="N409" t="s">
        <v>1</v>
      </c>
      <c r="O409" s="12">
        <v>18.61</v>
      </c>
      <c r="P409" s="12">
        <v>109698.87</v>
      </c>
      <c r="Q409" s="12">
        <v>3.58</v>
      </c>
    </row>
    <row r="410" spans="1:17" x14ac:dyDescent="0.2">
      <c r="A410" t="s">
        <v>29</v>
      </c>
      <c r="B410" t="s">
        <v>30</v>
      </c>
      <c r="C410" s="5">
        <v>51056808.050000004</v>
      </c>
      <c r="D410" s="2">
        <v>44943</v>
      </c>
      <c r="E410" s="5">
        <f t="shared" si="9"/>
        <v>107219296.90500002</v>
      </c>
      <c r="F410" s="2">
        <v>44950</v>
      </c>
      <c r="G410" s="3" t="s">
        <v>517</v>
      </c>
      <c r="H410" t="s">
        <v>66</v>
      </c>
      <c r="I410" s="7">
        <v>49689</v>
      </c>
      <c r="J410" t="s">
        <v>20</v>
      </c>
      <c r="K410" s="12">
        <v>36774.9</v>
      </c>
      <c r="L410" t="s">
        <v>0</v>
      </c>
      <c r="M410" s="12">
        <v>530367.61</v>
      </c>
      <c r="N410" t="s">
        <v>1</v>
      </c>
      <c r="O410" s="12">
        <v>14.42</v>
      </c>
      <c r="P410" s="12">
        <v>102152.89</v>
      </c>
      <c r="Q410" s="12">
        <v>2.78</v>
      </c>
    </row>
    <row r="411" spans="1:17" x14ac:dyDescent="0.2">
      <c r="A411" t="s">
        <v>29</v>
      </c>
      <c r="B411" t="s">
        <v>30</v>
      </c>
      <c r="C411" s="5">
        <v>51056808.200000003</v>
      </c>
      <c r="D411" s="2">
        <v>44943</v>
      </c>
      <c r="E411" s="5">
        <f t="shared" si="9"/>
        <v>107219297.22000001</v>
      </c>
      <c r="F411" s="2">
        <v>44950</v>
      </c>
      <c r="G411" s="3" t="s">
        <v>517</v>
      </c>
      <c r="H411" t="s">
        <v>66</v>
      </c>
      <c r="I411" s="7">
        <v>49689</v>
      </c>
      <c r="J411" t="s">
        <v>20</v>
      </c>
      <c r="K411" s="12">
        <v>41303</v>
      </c>
      <c r="L411" t="s">
        <v>0</v>
      </c>
      <c r="M411" s="12">
        <v>595671.87</v>
      </c>
      <c r="N411" t="s">
        <v>1</v>
      </c>
      <c r="O411" s="12">
        <v>14.42</v>
      </c>
      <c r="P411" s="12">
        <v>114731</v>
      </c>
      <c r="Q411" s="12">
        <v>2.78</v>
      </c>
    </row>
    <row r="412" spans="1:17" x14ac:dyDescent="0.2">
      <c r="A412" t="s">
        <v>29</v>
      </c>
      <c r="B412" t="s">
        <v>30</v>
      </c>
      <c r="C412" s="5">
        <v>51056808.829999998</v>
      </c>
      <c r="D412" s="2">
        <v>44949</v>
      </c>
      <c r="E412" s="5">
        <f t="shared" si="9"/>
        <v>107219298.543</v>
      </c>
      <c r="F412" s="2">
        <v>44950</v>
      </c>
      <c r="G412" s="3" t="s">
        <v>423</v>
      </c>
      <c r="H412" t="s">
        <v>128</v>
      </c>
      <c r="I412" s="7">
        <v>49689</v>
      </c>
      <c r="J412" t="s">
        <v>20</v>
      </c>
      <c r="K412" s="12">
        <v>21000</v>
      </c>
      <c r="L412" t="s">
        <v>0</v>
      </c>
      <c r="M412" s="12">
        <v>329000</v>
      </c>
      <c r="N412" t="s">
        <v>1</v>
      </c>
      <c r="O412" s="12">
        <v>15.67</v>
      </c>
      <c r="P412" s="12">
        <v>63367.94</v>
      </c>
      <c r="Q412" s="12">
        <v>3.02</v>
      </c>
    </row>
    <row r="413" spans="1:17" x14ac:dyDescent="0.2">
      <c r="A413" t="s">
        <v>29</v>
      </c>
      <c r="B413" t="s">
        <v>30</v>
      </c>
      <c r="C413" s="5">
        <v>51056808.840000004</v>
      </c>
      <c r="D413" s="2">
        <v>44949</v>
      </c>
      <c r="E413" s="5">
        <f t="shared" si="9"/>
        <v>107219298.56400001</v>
      </c>
      <c r="F413" s="2">
        <v>44950</v>
      </c>
      <c r="G413" s="3" t="s">
        <v>423</v>
      </c>
      <c r="H413" t="s">
        <v>128</v>
      </c>
      <c r="I413" s="7">
        <v>49689</v>
      </c>
      <c r="J413" t="s">
        <v>20</v>
      </c>
      <c r="K413" s="12">
        <v>21000</v>
      </c>
      <c r="L413" t="s">
        <v>0</v>
      </c>
      <c r="M413" s="12">
        <v>329000</v>
      </c>
      <c r="N413" t="s">
        <v>1</v>
      </c>
      <c r="O413" s="12">
        <v>15.67</v>
      </c>
      <c r="P413" s="12">
        <v>63367.94</v>
      </c>
      <c r="Q413" s="12">
        <v>3.02</v>
      </c>
    </row>
    <row r="414" spans="1:17" x14ac:dyDescent="0.2">
      <c r="A414" t="s">
        <v>29</v>
      </c>
      <c r="B414" t="s">
        <v>30</v>
      </c>
      <c r="C414" s="5">
        <v>51056808.859999999</v>
      </c>
      <c r="D414" s="2">
        <v>44945</v>
      </c>
      <c r="E414" s="5">
        <f t="shared" si="9"/>
        <v>107219298.60600001</v>
      </c>
      <c r="F414" s="2">
        <v>44950</v>
      </c>
      <c r="G414" s="3" t="s">
        <v>430</v>
      </c>
      <c r="H414" t="s">
        <v>135</v>
      </c>
      <c r="I414" s="7">
        <v>49689</v>
      </c>
      <c r="J414" t="s">
        <v>20</v>
      </c>
      <c r="K414" s="12">
        <v>18000</v>
      </c>
      <c r="L414" t="s">
        <v>0</v>
      </c>
      <c r="M414" s="12">
        <v>313499.99</v>
      </c>
      <c r="N414" t="s">
        <v>1</v>
      </c>
      <c r="O414" s="12">
        <v>17.420000000000002</v>
      </c>
      <c r="P414" s="12">
        <v>60382.52</v>
      </c>
      <c r="Q414" s="12">
        <v>3.35</v>
      </c>
    </row>
    <row r="415" spans="1:17" x14ac:dyDescent="0.2">
      <c r="A415" t="s">
        <v>29</v>
      </c>
      <c r="B415" t="s">
        <v>30</v>
      </c>
      <c r="C415" s="5">
        <v>51056809.039999999</v>
      </c>
      <c r="D415" s="2">
        <v>44946</v>
      </c>
      <c r="E415" s="5">
        <f t="shared" si="9"/>
        <v>107219298.984</v>
      </c>
      <c r="F415" s="2">
        <v>44950</v>
      </c>
      <c r="G415" s="3" t="s">
        <v>518</v>
      </c>
      <c r="H415" t="s">
        <v>214</v>
      </c>
      <c r="I415" s="7">
        <v>49731</v>
      </c>
      <c r="J415" t="s">
        <v>23</v>
      </c>
      <c r="K415" s="12">
        <v>30540</v>
      </c>
      <c r="L415" t="s">
        <v>0</v>
      </c>
      <c r="M415" s="12">
        <v>568428.80000000005</v>
      </c>
      <c r="N415" t="s">
        <v>1</v>
      </c>
      <c r="O415" s="12">
        <v>18.61</v>
      </c>
      <c r="P415" s="12">
        <v>109483.77</v>
      </c>
      <c r="Q415" s="12">
        <v>3.58</v>
      </c>
    </row>
    <row r="416" spans="1:17" x14ac:dyDescent="0.2">
      <c r="A416" t="s">
        <v>29</v>
      </c>
      <c r="B416" t="s">
        <v>30</v>
      </c>
      <c r="C416" s="5">
        <v>51056809.240000002</v>
      </c>
      <c r="D416" s="2">
        <v>44949</v>
      </c>
      <c r="E416" s="5">
        <f t="shared" si="9"/>
        <v>107219299.40400001</v>
      </c>
      <c r="F416" s="2">
        <v>44950</v>
      </c>
      <c r="G416" s="3" t="s">
        <v>374</v>
      </c>
      <c r="H416" t="s">
        <v>83</v>
      </c>
      <c r="I416" s="7">
        <v>49689</v>
      </c>
      <c r="J416" t="s">
        <v>20</v>
      </c>
      <c r="K416" s="12">
        <v>12360</v>
      </c>
      <c r="L416" t="s">
        <v>0</v>
      </c>
      <c r="M416" s="12">
        <v>196470.44</v>
      </c>
      <c r="N416" t="s">
        <v>1</v>
      </c>
      <c r="O416" s="12">
        <v>15.9</v>
      </c>
      <c r="P416" s="12">
        <v>37841.72</v>
      </c>
      <c r="Q416" s="12">
        <v>3.06</v>
      </c>
    </row>
    <row r="417" spans="1:17" x14ac:dyDescent="0.2">
      <c r="A417" t="s">
        <v>29</v>
      </c>
      <c r="B417" t="s">
        <v>30</v>
      </c>
      <c r="C417" s="5">
        <v>51056809.420000002</v>
      </c>
      <c r="D417" s="2">
        <v>44945</v>
      </c>
      <c r="E417" s="5">
        <f t="shared" si="9"/>
        <v>107219299.78200001</v>
      </c>
      <c r="F417" s="2">
        <v>44950</v>
      </c>
      <c r="G417" s="3" t="s">
        <v>364</v>
      </c>
      <c r="H417" t="s">
        <v>73</v>
      </c>
      <c r="I417" s="7">
        <v>49689</v>
      </c>
      <c r="J417" t="s">
        <v>20</v>
      </c>
      <c r="K417" s="12">
        <v>15000</v>
      </c>
      <c r="L417" t="s">
        <v>0</v>
      </c>
      <c r="M417" s="12">
        <v>257250</v>
      </c>
      <c r="N417" t="s">
        <v>1</v>
      </c>
      <c r="O417" s="12">
        <v>17.149999999999999</v>
      </c>
      <c r="P417" s="12">
        <v>49548.33</v>
      </c>
      <c r="Q417" s="12">
        <v>3.3</v>
      </c>
    </row>
    <row r="418" spans="1:17" x14ac:dyDescent="0.2">
      <c r="A418" t="s">
        <v>29</v>
      </c>
      <c r="B418" t="s">
        <v>30</v>
      </c>
      <c r="C418" s="5">
        <v>51056809.460000001</v>
      </c>
      <c r="D418" s="2">
        <v>44949</v>
      </c>
      <c r="E418" s="5">
        <f t="shared" si="9"/>
        <v>107219299.86600001</v>
      </c>
      <c r="F418" s="2">
        <v>44950</v>
      </c>
      <c r="G418" s="3" t="s">
        <v>519</v>
      </c>
      <c r="H418" t="s">
        <v>215</v>
      </c>
      <c r="I418" s="7">
        <v>49689</v>
      </c>
      <c r="J418" t="s">
        <v>20</v>
      </c>
      <c r="K418" s="12">
        <v>30000</v>
      </c>
      <c r="L418" t="s">
        <v>0</v>
      </c>
      <c r="M418" s="12">
        <v>440470</v>
      </c>
      <c r="N418" t="s">
        <v>1</v>
      </c>
      <c r="O418" s="12">
        <v>14.68</v>
      </c>
      <c r="P418" s="12">
        <v>84837.92</v>
      </c>
      <c r="Q418" s="12">
        <v>2.83</v>
      </c>
    </row>
    <row r="419" spans="1:17" x14ac:dyDescent="0.2">
      <c r="A419" t="s">
        <v>29</v>
      </c>
      <c r="B419" t="s">
        <v>30</v>
      </c>
      <c r="C419" s="5">
        <v>51056810</v>
      </c>
      <c r="D419" s="2">
        <v>44944</v>
      </c>
      <c r="E419" s="5">
        <f t="shared" si="9"/>
        <v>107219301</v>
      </c>
      <c r="F419" s="2">
        <v>44950</v>
      </c>
      <c r="G419" s="3" t="s">
        <v>519</v>
      </c>
      <c r="H419" t="s">
        <v>215</v>
      </c>
      <c r="I419" s="7">
        <v>49731</v>
      </c>
      <c r="J419" t="s">
        <v>23</v>
      </c>
      <c r="K419" s="12">
        <v>13200</v>
      </c>
      <c r="L419" t="s">
        <v>0</v>
      </c>
      <c r="M419" s="12">
        <v>239800</v>
      </c>
      <c r="N419" t="s">
        <v>1</v>
      </c>
      <c r="O419" s="12">
        <v>18.170000000000002</v>
      </c>
      <c r="P419" s="12">
        <v>46139.67</v>
      </c>
      <c r="Q419" s="12">
        <v>3.5</v>
      </c>
    </row>
    <row r="420" spans="1:17" x14ac:dyDescent="0.2">
      <c r="A420" t="s">
        <v>29</v>
      </c>
      <c r="B420" t="s">
        <v>30</v>
      </c>
      <c r="C420" s="5">
        <v>51056810.140000001</v>
      </c>
      <c r="D420" s="2">
        <v>44949</v>
      </c>
      <c r="E420" s="5">
        <f t="shared" si="9"/>
        <v>107219301.294</v>
      </c>
      <c r="F420" s="2">
        <v>44950</v>
      </c>
      <c r="G420" s="3" t="s">
        <v>498</v>
      </c>
      <c r="H420" t="s">
        <v>197</v>
      </c>
      <c r="I420" s="7">
        <v>49689</v>
      </c>
      <c r="J420" t="s">
        <v>20</v>
      </c>
      <c r="K420" s="12">
        <v>1800</v>
      </c>
      <c r="L420" t="s">
        <v>0</v>
      </c>
      <c r="M420" s="12">
        <v>31800</v>
      </c>
      <c r="N420" t="s">
        <v>1</v>
      </c>
      <c r="O420" s="12">
        <v>17.670000000000002</v>
      </c>
      <c r="P420" s="12">
        <v>6124.93</v>
      </c>
      <c r="Q420" s="12">
        <v>3.4</v>
      </c>
    </row>
    <row r="421" spans="1:17" x14ac:dyDescent="0.2">
      <c r="A421" t="s">
        <v>29</v>
      </c>
      <c r="B421" t="s">
        <v>30</v>
      </c>
      <c r="C421" s="5">
        <v>51056810.460000001</v>
      </c>
      <c r="D421" s="2">
        <v>44949</v>
      </c>
      <c r="E421" s="5">
        <f t="shared" si="9"/>
        <v>107219301.96600001</v>
      </c>
      <c r="F421" s="2">
        <v>44950</v>
      </c>
      <c r="G421" s="3" t="s">
        <v>446</v>
      </c>
      <c r="H421" t="s">
        <v>150</v>
      </c>
      <c r="I421" s="7">
        <v>49689</v>
      </c>
      <c r="J421" t="s">
        <v>20</v>
      </c>
      <c r="K421" s="12">
        <v>6480</v>
      </c>
      <c r="L421" t="s">
        <v>0</v>
      </c>
      <c r="M421" s="12">
        <v>111564</v>
      </c>
      <c r="N421" t="s">
        <v>1</v>
      </c>
      <c r="O421" s="12">
        <v>17.22</v>
      </c>
      <c r="P421" s="12">
        <v>21488.09</v>
      </c>
      <c r="Q421" s="12">
        <v>3.32</v>
      </c>
    </row>
    <row r="422" spans="1:17" x14ac:dyDescent="0.2">
      <c r="A422" t="s">
        <v>29</v>
      </c>
      <c r="B422" t="s">
        <v>30</v>
      </c>
      <c r="C422" s="5">
        <v>51056810.630000003</v>
      </c>
      <c r="D422" s="2">
        <v>44949</v>
      </c>
      <c r="E422" s="5">
        <f t="shared" si="9"/>
        <v>107219302.32300001</v>
      </c>
      <c r="F422" s="2">
        <v>44950</v>
      </c>
      <c r="G422" s="3" t="s">
        <v>520</v>
      </c>
      <c r="H422" t="s">
        <v>216</v>
      </c>
      <c r="I422" s="7">
        <v>49689</v>
      </c>
      <c r="J422" t="s">
        <v>20</v>
      </c>
      <c r="K422" s="12">
        <v>30000</v>
      </c>
      <c r="L422" t="s">
        <v>0</v>
      </c>
      <c r="M422" s="12">
        <v>517250</v>
      </c>
      <c r="N422" t="s">
        <v>1</v>
      </c>
      <c r="O422" s="12">
        <v>17.239999999999998</v>
      </c>
      <c r="P422" s="12">
        <v>99626.34</v>
      </c>
      <c r="Q422" s="12">
        <v>3.32</v>
      </c>
    </row>
    <row r="423" spans="1:17" x14ac:dyDescent="0.2">
      <c r="A423" t="s">
        <v>29</v>
      </c>
      <c r="B423" t="s">
        <v>30</v>
      </c>
      <c r="C423" s="5">
        <v>51056810.640000001</v>
      </c>
      <c r="D423" s="2">
        <v>44949</v>
      </c>
      <c r="E423" s="5">
        <f t="shared" si="9"/>
        <v>107219302.34400001</v>
      </c>
      <c r="F423" s="2">
        <v>44950</v>
      </c>
      <c r="G423" s="3" t="s">
        <v>498</v>
      </c>
      <c r="H423" t="s">
        <v>197</v>
      </c>
      <c r="I423" s="7">
        <v>49689</v>
      </c>
      <c r="J423" t="s">
        <v>20</v>
      </c>
      <c r="K423" s="12">
        <v>9600</v>
      </c>
      <c r="L423" t="s">
        <v>0</v>
      </c>
      <c r="M423" s="12">
        <v>169600</v>
      </c>
      <c r="N423" t="s">
        <v>1</v>
      </c>
      <c r="O423" s="12">
        <v>17.670000000000002</v>
      </c>
      <c r="P423" s="12">
        <v>32666.27</v>
      </c>
      <c r="Q423" s="12">
        <v>3.4</v>
      </c>
    </row>
    <row r="424" spans="1:17" x14ac:dyDescent="0.2">
      <c r="A424" t="s">
        <v>29</v>
      </c>
      <c r="B424" t="s">
        <v>30</v>
      </c>
      <c r="C424" s="5">
        <v>51056810.689999998</v>
      </c>
      <c r="D424" s="2">
        <v>44949</v>
      </c>
      <c r="E424" s="5">
        <f t="shared" si="9"/>
        <v>107219302.449</v>
      </c>
      <c r="F424" s="2">
        <v>44950</v>
      </c>
      <c r="G424" s="3" t="s">
        <v>521</v>
      </c>
      <c r="H424" t="s">
        <v>217</v>
      </c>
      <c r="I424" s="7">
        <v>49731</v>
      </c>
      <c r="J424" t="s">
        <v>23</v>
      </c>
      <c r="K424" s="12">
        <v>2150</v>
      </c>
      <c r="L424" t="s">
        <v>0</v>
      </c>
      <c r="M424" s="12">
        <v>39624.5</v>
      </c>
      <c r="N424" t="s">
        <v>1</v>
      </c>
      <c r="O424" s="12">
        <v>18.43</v>
      </c>
      <c r="P424" s="12">
        <v>7631.98</v>
      </c>
      <c r="Q424" s="12">
        <v>3.55</v>
      </c>
    </row>
    <row r="425" spans="1:17" x14ac:dyDescent="0.2">
      <c r="A425" t="s">
        <v>29</v>
      </c>
      <c r="B425" t="s">
        <v>30</v>
      </c>
      <c r="C425" s="5">
        <v>51056811.630000003</v>
      </c>
      <c r="D425" s="2">
        <v>44949</v>
      </c>
      <c r="E425" s="5">
        <f t="shared" si="9"/>
        <v>107219304.42300001</v>
      </c>
      <c r="F425" s="2">
        <v>44950</v>
      </c>
      <c r="G425" s="3" t="s">
        <v>522</v>
      </c>
      <c r="H425" t="s">
        <v>217</v>
      </c>
      <c r="I425" s="7">
        <v>49689</v>
      </c>
      <c r="J425" t="s">
        <v>20</v>
      </c>
      <c r="K425" s="12">
        <v>9830</v>
      </c>
      <c r="L425" t="s">
        <v>0</v>
      </c>
      <c r="M425" s="12">
        <v>174482.5</v>
      </c>
      <c r="N425" t="s">
        <v>1</v>
      </c>
      <c r="O425" s="12">
        <v>17.75</v>
      </c>
      <c r="P425" s="12">
        <v>33606.68</v>
      </c>
      <c r="Q425" s="12">
        <v>3.42</v>
      </c>
    </row>
    <row r="426" spans="1:17" x14ac:dyDescent="0.2">
      <c r="A426" t="s">
        <v>29</v>
      </c>
      <c r="B426" t="s">
        <v>30</v>
      </c>
      <c r="C426" s="5">
        <v>51056811.649999999</v>
      </c>
      <c r="D426" s="2">
        <v>44946</v>
      </c>
      <c r="E426" s="5">
        <f t="shared" si="9"/>
        <v>107219304.465</v>
      </c>
      <c r="F426" s="2">
        <v>44950</v>
      </c>
      <c r="G426" s="3" t="s">
        <v>523</v>
      </c>
      <c r="H426" t="s">
        <v>218</v>
      </c>
      <c r="I426" s="7">
        <v>49738</v>
      </c>
      <c r="J426" t="s">
        <v>21</v>
      </c>
      <c r="K426" s="12">
        <v>4800</v>
      </c>
      <c r="L426" t="s">
        <v>0</v>
      </c>
      <c r="M426" s="12">
        <v>51980</v>
      </c>
      <c r="N426" t="s">
        <v>1</v>
      </c>
      <c r="O426" s="12">
        <v>10.83</v>
      </c>
      <c r="P426" s="12">
        <v>10011.75</v>
      </c>
      <c r="Q426" s="12">
        <v>2.09</v>
      </c>
    </row>
    <row r="427" spans="1:17" x14ac:dyDescent="0.2">
      <c r="A427" t="s">
        <v>29</v>
      </c>
      <c r="B427" t="s">
        <v>30</v>
      </c>
      <c r="C427" s="5">
        <v>51056812.640000001</v>
      </c>
      <c r="D427" s="2">
        <v>44943</v>
      </c>
      <c r="E427" s="5">
        <f t="shared" ref="E427:E490" si="10">C427*2.1</f>
        <v>107219306.544</v>
      </c>
      <c r="F427" s="2">
        <v>44950</v>
      </c>
      <c r="G427" s="3" t="s">
        <v>524</v>
      </c>
      <c r="H427" t="s">
        <v>57</v>
      </c>
      <c r="I427" s="7">
        <v>49689</v>
      </c>
      <c r="J427" t="s">
        <v>20</v>
      </c>
      <c r="K427" s="12">
        <v>10656.7</v>
      </c>
      <c r="L427" t="s">
        <v>0</v>
      </c>
      <c r="M427" s="12">
        <v>175835.55</v>
      </c>
      <c r="N427" t="s">
        <v>1</v>
      </c>
      <c r="O427" s="12">
        <v>16.5</v>
      </c>
      <c r="P427" s="12">
        <v>33867.279999999999</v>
      </c>
      <c r="Q427" s="12">
        <v>3.18</v>
      </c>
    </row>
    <row r="428" spans="1:17" x14ac:dyDescent="0.2">
      <c r="A428" t="s">
        <v>29</v>
      </c>
      <c r="B428" t="s">
        <v>30</v>
      </c>
      <c r="C428" s="5">
        <v>51056812.660000004</v>
      </c>
      <c r="D428" s="2">
        <v>44949</v>
      </c>
      <c r="E428" s="5">
        <f t="shared" si="10"/>
        <v>107219306.58600001</v>
      </c>
      <c r="F428" s="2">
        <v>44950</v>
      </c>
      <c r="G428" s="3" t="s">
        <v>321</v>
      </c>
      <c r="H428" t="s">
        <v>31</v>
      </c>
      <c r="I428" s="7">
        <v>49689</v>
      </c>
      <c r="J428" t="s">
        <v>20</v>
      </c>
      <c r="K428" s="12">
        <v>6000</v>
      </c>
      <c r="L428" t="s">
        <v>0</v>
      </c>
      <c r="M428" s="12">
        <v>101587</v>
      </c>
      <c r="N428" t="s">
        <v>1</v>
      </c>
      <c r="O428" s="12">
        <v>16.93</v>
      </c>
      <c r="P428" s="12">
        <v>19566.439999999999</v>
      </c>
      <c r="Q428" s="12">
        <v>3.26</v>
      </c>
    </row>
    <row r="429" spans="1:17" x14ac:dyDescent="0.2">
      <c r="A429" t="s">
        <v>29</v>
      </c>
      <c r="B429" t="s">
        <v>30</v>
      </c>
      <c r="C429" s="5">
        <v>51056812.689999998</v>
      </c>
      <c r="D429" s="2">
        <v>44945</v>
      </c>
      <c r="E429" s="5">
        <f t="shared" si="10"/>
        <v>107219306.649</v>
      </c>
      <c r="F429" s="2">
        <v>44950</v>
      </c>
      <c r="G429" s="3" t="s">
        <v>420</v>
      </c>
      <c r="H429" t="s">
        <v>125</v>
      </c>
      <c r="I429" s="7">
        <v>49689</v>
      </c>
      <c r="J429" t="s">
        <v>20</v>
      </c>
      <c r="K429" s="12">
        <v>3000</v>
      </c>
      <c r="L429" t="s">
        <v>0</v>
      </c>
      <c r="M429" s="12">
        <v>46057.5</v>
      </c>
      <c r="N429" t="s">
        <v>1</v>
      </c>
      <c r="O429" s="12">
        <v>15.35</v>
      </c>
      <c r="P429" s="12">
        <v>8871.0300000000007</v>
      </c>
      <c r="Q429" s="12">
        <v>2.96</v>
      </c>
    </row>
    <row r="430" spans="1:17" x14ac:dyDescent="0.2">
      <c r="A430" t="s">
        <v>29</v>
      </c>
      <c r="B430" t="s">
        <v>30</v>
      </c>
      <c r="C430" s="5">
        <v>51056812.700000003</v>
      </c>
      <c r="D430" s="2">
        <v>44950</v>
      </c>
      <c r="E430" s="5">
        <f t="shared" si="10"/>
        <v>107219306.67000002</v>
      </c>
      <c r="F430" s="2">
        <v>44950</v>
      </c>
      <c r="G430" s="3" t="s">
        <v>525</v>
      </c>
      <c r="H430" t="s">
        <v>219</v>
      </c>
      <c r="I430" s="7">
        <v>49689</v>
      </c>
      <c r="J430" t="s">
        <v>20</v>
      </c>
      <c r="K430" s="12">
        <v>1836.6</v>
      </c>
      <c r="L430" t="s">
        <v>0</v>
      </c>
      <c r="M430" s="12">
        <v>31238.36</v>
      </c>
      <c r="N430" t="s">
        <v>1</v>
      </c>
      <c r="O430" s="12">
        <v>17.010000000000002</v>
      </c>
      <c r="P430" s="12">
        <v>6016.75</v>
      </c>
      <c r="Q430" s="12">
        <v>3.28</v>
      </c>
    </row>
    <row r="431" spans="1:17" x14ac:dyDescent="0.2">
      <c r="A431" t="s">
        <v>29</v>
      </c>
      <c r="B431" t="s">
        <v>30</v>
      </c>
      <c r="C431" s="5">
        <v>51056813.5</v>
      </c>
      <c r="D431" s="2">
        <v>44949</v>
      </c>
      <c r="E431" s="5">
        <f t="shared" si="10"/>
        <v>107219308.35000001</v>
      </c>
      <c r="F431" s="2">
        <v>44950</v>
      </c>
      <c r="G431" s="3" t="s">
        <v>526</v>
      </c>
      <c r="H431" t="s">
        <v>220</v>
      </c>
      <c r="I431" s="7">
        <v>49689</v>
      </c>
      <c r="J431" t="s">
        <v>20</v>
      </c>
      <c r="K431" s="12">
        <v>3739</v>
      </c>
      <c r="L431" t="s">
        <v>0</v>
      </c>
      <c r="M431" s="12">
        <v>65889.78</v>
      </c>
      <c r="N431" t="s">
        <v>1</v>
      </c>
      <c r="O431" s="12">
        <v>17.62</v>
      </c>
      <c r="P431" s="12">
        <v>12690.88</v>
      </c>
      <c r="Q431" s="12">
        <v>3.39</v>
      </c>
    </row>
    <row r="432" spans="1:17" x14ac:dyDescent="0.2">
      <c r="A432" t="s">
        <v>29</v>
      </c>
      <c r="B432" t="s">
        <v>30</v>
      </c>
      <c r="C432" s="5">
        <v>51056814.390000001</v>
      </c>
      <c r="D432" s="2">
        <v>44937</v>
      </c>
      <c r="E432" s="5">
        <f t="shared" si="10"/>
        <v>107219310.21900001</v>
      </c>
      <c r="F432" s="2">
        <v>44950</v>
      </c>
      <c r="G432" s="3" t="s">
        <v>527</v>
      </c>
      <c r="H432" t="s">
        <v>221</v>
      </c>
      <c r="I432" s="7">
        <v>35334</v>
      </c>
      <c r="J432" t="s">
        <v>24</v>
      </c>
      <c r="K432" s="12">
        <v>3.1619999999999999</v>
      </c>
      <c r="L432" t="s">
        <v>2</v>
      </c>
      <c r="M432" s="12">
        <v>30596.3</v>
      </c>
      <c r="N432" t="s">
        <v>1</v>
      </c>
      <c r="O432" s="12">
        <v>9676.25</v>
      </c>
      <c r="P432" s="12">
        <v>5789.05</v>
      </c>
      <c r="Q432" s="12">
        <v>1830.82</v>
      </c>
    </row>
    <row r="433" spans="1:17" x14ac:dyDescent="0.2">
      <c r="A433" t="s">
        <v>29</v>
      </c>
      <c r="B433" t="s">
        <v>30</v>
      </c>
      <c r="C433" s="5">
        <v>51056814.990000002</v>
      </c>
      <c r="D433" s="2">
        <v>44945</v>
      </c>
      <c r="E433" s="5">
        <f t="shared" si="10"/>
        <v>107219311.479</v>
      </c>
      <c r="F433" s="2">
        <v>44950</v>
      </c>
      <c r="G433" s="3" t="s">
        <v>410</v>
      </c>
      <c r="H433" t="s">
        <v>115</v>
      </c>
      <c r="I433" s="7">
        <v>35333</v>
      </c>
      <c r="J433" t="s">
        <v>22</v>
      </c>
      <c r="K433" s="12">
        <v>15</v>
      </c>
      <c r="L433" t="s">
        <v>2</v>
      </c>
      <c r="M433" s="12">
        <v>205378.41</v>
      </c>
      <c r="N433" t="s">
        <v>1</v>
      </c>
      <c r="O433" s="12">
        <v>13691.89</v>
      </c>
      <c r="P433" s="12">
        <v>39557.46</v>
      </c>
      <c r="Q433" s="12">
        <v>2637.16</v>
      </c>
    </row>
    <row r="434" spans="1:17" x14ac:dyDescent="0.2">
      <c r="A434" t="s">
        <v>29</v>
      </c>
      <c r="B434" t="s">
        <v>30</v>
      </c>
      <c r="C434" s="5">
        <v>51056815.520000003</v>
      </c>
      <c r="D434" s="2">
        <v>44919</v>
      </c>
      <c r="E434" s="5">
        <f t="shared" si="10"/>
        <v>107219312.59200001</v>
      </c>
      <c r="F434" s="2">
        <v>44950</v>
      </c>
      <c r="G434" s="3" t="s">
        <v>340</v>
      </c>
      <c r="H434" t="s">
        <v>50</v>
      </c>
      <c r="I434" s="7">
        <v>35334</v>
      </c>
      <c r="J434" t="s">
        <v>24</v>
      </c>
      <c r="K434" s="12">
        <v>3.2789999999999999</v>
      </c>
      <c r="L434" t="s">
        <v>2</v>
      </c>
      <c r="M434" s="12">
        <v>48417.57</v>
      </c>
      <c r="N434" t="s">
        <v>1</v>
      </c>
      <c r="O434" s="12">
        <v>14765.96</v>
      </c>
      <c r="P434" s="12">
        <v>9314.11</v>
      </c>
      <c r="Q434" s="12">
        <v>2840.53</v>
      </c>
    </row>
    <row r="435" spans="1:17" x14ac:dyDescent="0.2">
      <c r="A435" t="s">
        <v>29</v>
      </c>
      <c r="B435" t="s">
        <v>30</v>
      </c>
      <c r="C435" s="5">
        <v>51056815.890000001</v>
      </c>
      <c r="D435" s="2">
        <v>44950</v>
      </c>
      <c r="E435" s="5">
        <f t="shared" si="10"/>
        <v>107219313.369</v>
      </c>
      <c r="F435" s="2">
        <v>44950</v>
      </c>
      <c r="G435" s="3" t="s">
        <v>326</v>
      </c>
      <c r="H435" t="s">
        <v>36</v>
      </c>
      <c r="I435" s="7">
        <v>35333</v>
      </c>
      <c r="J435" t="s">
        <v>22</v>
      </c>
      <c r="K435" s="12">
        <v>6</v>
      </c>
      <c r="L435" t="s">
        <v>2</v>
      </c>
      <c r="M435" s="12">
        <v>84183.38</v>
      </c>
      <c r="N435" t="s">
        <v>1</v>
      </c>
      <c r="O435" s="12">
        <v>14030.56</v>
      </c>
      <c r="P435" s="12">
        <v>16214.36</v>
      </c>
      <c r="Q435" s="12">
        <v>2702.39</v>
      </c>
    </row>
    <row r="436" spans="1:17" x14ac:dyDescent="0.2">
      <c r="A436" t="s">
        <v>29</v>
      </c>
      <c r="B436" t="s">
        <v>30</v>
      </c>
      <c r="C436" s="5">
        <v>51056816.009999998</v>
      </c>
      <c r="D436" s="2">
        <v>44950</v>
      </c>
      <c r="E436" s="5">
        <f t="shared" si="10"/>
        <v>107219313.62100001</v>
      </c>
      <c r="F436" s="2">
        <v>44950</v>
      </c>
      <c r="G436" s="3" t="s">
        <v>365</v>
      </c>
      <c r="H436" t="s">
        <v>74</v>
      </c>
      <c r="I436" s="7">
        <v>35334</v>
      </c>
      <c r="J436" t="s">
        <v>24</v>
      </c>
      <c r="K436" s="12">
        <v>18</v>
      </c>
      <c r="L436" t="s">
        <v>2</v>
      </c>
      <c r="M436" s="12">
        <v>255511.05</v>
      </c>
      <c r="N436" t="s">
        <v>1</v>
      </c>
      <c r="O436" s="12">
        <v>14195.06</v>
      </c>
      <c r="P436" s="12">
        <v>33744.78</v>
      </c>
      <c r="Q436" s="12">
        <v>1874.71</v>
      </c>
    </row>
    <row r="437" spans="1:17" x14ac:dyDescent="0.2">
      <c r="A437" t="s">
        <v>29</v>
      </c>
      <c r="B437" t="s">
        <v>30</v>
      </c>
      <c r="C437" s="5">
        <v>51056816.07</v>
      </c>
      <c r="D437" s="2">
        <v>44947</v>
      </c>
      <c r="E437" s="5">
        <f t="shared" si="10"/>
        <v>107219313.74700001</v>
      </c>
      <c r="F437" s="2">
        <v>44950</v>
      </c>
      <c r="G437" s="3" t="s">
        <v>510</v>
      </c>
      <c r="H437" t="s">
        <v>209</v>
      </c>
      <c r="I437" s="7">
        <v>35334</v>
      </c>
      <c r="J437" t="s">
        <v>24</v>
      </c>
      <c r="K437" s="12">
        <v>15</v>
      </c>
      <c r="L437" t="s">
        <v>2</v>
      </c>
      <c r="M437" s="12">
        <v>212925.88</v>
      </c>
      <c r="N437" t="s">
        <v>1</v>
      </c>
      <c r="O437" s="12">
        <v>14195.06</v>
      </c>
      <c r="P437" s="12">
        <v>40952.83</v>
      </c>
      <c r="Q437" s="12">
        <v>2730.19</v>
      </c>
    </row>
    <row r="438" spans="1:17" x14ac:dyDescent="0.2">
      <c r="A438" t="s">
        <v>29</v>
      </c>
      <c r="B438" t="s">
        <v>30</v>
      </c>
      <c r="C438" s="5">
        <v>51056816.43</v>
      </c>
      <c r="D438" s="2">
        <v>44950</v>
      </c>
      <c r="E438" s="5">
        <f t="shared" si="10"/>
        <v>107219314.50300001</v>
      </c>
      <c r="F438" s="2">
        <v>44950</v>
      </c>
      <c r="G438" s="3" t="s">
        <v>480</v>
      </c>
      <c r="H438" t="s">
        <v>182</v>
      </c>
      <c r="I438" s="7">
        <v>35333</v>
      </c>
      <c r="J438" t="s">
        <v>22</v>
      </c>
      <c r="K438" s="12">
        <v>4.38</v>
      </c>
      <c r="L438" t="s">
        <v>2</v>
      </c>
      <c r="M438" s="12">
        <v>59758.59</v>
      </c>
      <c r="N438" t="s">
        <v>1</v>
      </c>
      <c r="O438" s="12">
        <v>13643.51</v>
      </c>
      <c r="P438" s="12">
        <v>11673.23</v>
      </c>
      <c r="Q438" s="12">
        <v>2665.12</v>
      </c>
    </row>
    <row r="439" spans="1:17" x14ac:dyDescent="0.2">
      <c r="A439" t="s">
        <v>29</v>
      </c>
      <c r="B439" t="s">
        <v>30</v>
      </c>
      <c r="C439" s="5">
        <v>51056816.460000001</v>
      </c>
      <c r="D439" s="2">
        <v>44943</v>
      </c>
      <c r="E439" s="5">
        <f t="shared" si="10"/>
        <v>107219314.566</v>
      </c>
      <c r="F439" s="2">
        <v>44950</v>
      </c>
      <c r="G439" s="3" t="s">
        <v>528</v>
      </c>
      <c r="H439" t="s">
        <v>222</v>
      </c>
      <c r="I439" s="7">
        <v>49731</v>
      </c>
      <c r="J439" t="s">
        <v>23</v>
      </c>
      <c r="K439" s="12">
        <v>13580</v>
      </c>
      <c r="L439" t="s">
        <v>0</v>
      </c>
      <c r="M439" s="12">
        <v>236835.20000000001</v>
      </c>
      <c r="N439" t="s">
        <v>1</v>
      </c>
      <c r="O439" s="12">
        <v>17.440000000000001</v>
      </c>
      <c r="P439" s="12">
        <v>45616.29</v>
      </c>
      <c r="Q439" s="12">
        <v>3.36</v>
      </c>
    </row>
    <row r="440" spans="1:17" x14ac:dyDescent="0.2">
      <c r="A440" t="s">
        <v>29</v>
      </c>
      <c r="B440" t="s">
        <v>30</v>
      </c>
      <c r="C440" s="5">
        <v>51056816.810000002</v>
      </c>
      <c r="D440" s="2">
        <v>44946</v>
      </c>
      <c r="E440" s="5">
        <f t="shared" si="10"/>
        <v>107219315.30100001</v>
      </c>
      <c r="F440" s="2">
        <v>44950</v>
      </c>
      <c r="G440" s="3" t="s">
        <v>338</v>
      </c>
      <c r="H440" t="s">
        <v>48</v>
      </c>
      <c r="I440" s="7">
        <v>35333</v>
      </c>
      <c r="J440" t="s">
        <v>22</v>
      </c>
      <c r="K440" s="12">
        <v>5</v>
      </c>
      <c r="L440" t="s">
        <v>2</v>
      </c>
      <c r="M440" s="12">
        <v>69185.19</v>
      </c>
      <c r="N440" t="s">
        <v>1</v>
      </c>
      <c r="O440" s="12">
        <v>13837.04</v>
      </c>
      <c r="P440" s="12">
        <v>13325.6</v>
      </c>
      <c r="Q440" s="12">
        <v>2665.12</v>
      </c>
    </row>
    <row r="441" spans="1:17" x14ac:dyDescent="0.2">
      <c r="A441" t="s">
        <v>29</v>
      </c>
      <c r="B441" t="s">
        <v>30</v>
      </c>
      <c r="C441" s="5">
        <v>51056818.370000005</v>
      </c>
      <c r="D441" s="2">
        <v>44950</v>
      </c>
      <c r="E441" s="5">
        <f t="shared" si="10"/>
        <v>107219318.57700002</v>
      </c>
      <c r="F441" s="2">
        <v>44950</v>
      </c>
      <c r="G441" s="3" t="s">
        <v>529</v>
      </c>
      <c r="H441" t="s">
        <v>93</v>
      </c>
      <c r="I441" s="7">
        <v>49738</v>
      </c>
      <c r="J441" t="s">
        <v>21</v>
      </c>
      <c r="K441" s="12">
        <v>4500</v>
      </c>
      <c r="L441" t="s">
        <v>0</v>
      </c>
      <c r="M441" s="12">
        <v>40698.75</v>
      </c>
      <c r="N441" t="s">
        <v>1</v>
      </c>
      <c r="O441" s="12">
        <v>9.0399999999999991</v>
      </c>
      <c r="P441" s="12">
        <v>7838.89</v>
      </c>
      <c r="Q441" s="12">
        <v>1.74</v>
      </c>
    </row>
    <row r="442" spans="1:17" x14ac:dyDescent="0.2">
      <c r="A442" t="s">
        <v>29</v>
      </c>
      <c r="B442" t="s">
        <v>30</v>
      </c>
      <c r="C442" s="5">
        <v>51056818.530000001</v>
      </c>
      <c r="D442" s="2">
        <v>44945</v>
      </c>
      <c r="E442" s="5">
        <f t="shared" si="10"/>
        <v>107219318.913</v>
      </c>
      <c r="F442" s="2">
        <v>44950</v>
      </c>
      <c r="G442" s="3" t="s">
        <v>410</v>
      </c>
      <c r="H442" t="s">
        <v>115</v>
      </c>
      <c r="I442" s="7">
        <v>35333</v>
      </c>
      <c r="J442" t="s">
        <v>22</v>
      </c>
      <c r="K442" s="12">
        <v>3</v>
      </c>
      <c r="L442" t="s">
        <v>2</v>
      </c>
      <c r="M442" s="12">
        <v>41075.68</v>
      </c>
      <c r="N442" t="s">
        <v>1</v>
      </c>
      <c r="O442" s="12">
        <v>13691.89</v>
      </c>
      <c r="P442" s="12">
        <v>7911.49</v>
      </c>
      <c r="Q442" s="12">
        <v>2637.16</v>
      </c>
    </row>
    <row r="443" spans="1:17" x14ac:dyDescent="0.2">
      <c r="A443" t="s">
        <v>29</v>
      </c>
      <c r="B443" t="s">
        <v>30</v>
      </c>
      <c r="C443" s="5">
        <v>51056819.57</v>
      </c>
      <c r="D443" s="2">
        <v>44945</v>
      </c>
      <c r="E443" s="5">
        <f t="shared" si="10"/>
        <v>107219321.097</v>
      </c>
      <c r="F443" s="2">
        <v>44950</v>
      </c>
      <c r="G443" s="3" t="s">
        <v>530</v>
      </c>
      <c r="H443" t="s">
        <v>223</v>
      </c>
      <c r="I443" s="7">
        <v>49689</v>
      </c>
      <c r="J443" t="s">
        <v>20</v>
      </c>
      <c r="K443" s="12">
        <v>2170</v>
      </c>
      <c r="L443" t="s">
        <v>0</v>
      </c>
      <c r="M443" s="12">
        <v>36564.720000000001</v>
      </c>
      <c r="N443" t="s">
        <v>1</v>
      </c>
      <c r="O443" s="12">
        <v>16.850000000000001</v>
      </c>
      <c r="P443" s="12">
        <v>7042.65</v>
      </c>
      <c r="Q443" s="12">
        <v>3.25</v>
      </c>
    </row>
    <row r="444" spans="1:17" x14ac:dyDescent="0.2">
      <c r="A444" t="s">
        <v>29</v>
      </c>
      <c r="B444" t="s">
        <v>30</v>
      </c>
      <c r="C444" s="5">
        <v>51056819.920000002</v>
      </c>
      <c r="D444" s="2">
        <v>44944</v>
      </c>
      <c r="E444" s="5">
        <f t="shared" si="10"/>
        <v>107219321.832</v>
      </c>
      <c r="F444" s="2">
        <v>44950</v>
      </c>
      <c r="G444" s="3" t="s">
        <v>420</v>
      </c>
      <c r="H444" t="s">
        <v>125</v>
      </c>
      <c r="I444" s="7">
        <v>49689</v>
      </c>
      <c r="J444" t="s">
        <v>20</v>
      </c>
      <c r="K444" s="12">
        <v>6000</v>
      </c>
      <c r="L444" t="s">
        <v>0</v>
      </c>
      <c r="M444" s="12">
        <v>99380</v>
      </c>
      <c r="N444" t="s">
        <v>1</v>
      </c>
      <c r="O444" s="12">
        <v>16.559999999999999</v>
      </c>
      <c r="P444" s="12">
        <v>19141.349999999999</v>
      </c>
      <c r="Q444" s="12">
        <v>3.19</v>
      </c>
    </row>
    <row r="445" spans="1:17" x14ac:dyDescent="0.2">
      <c r="A445" t="s">
        <v>29</v>
      </c>
      <c r="B445" t="s">
        <v>30</v>
      </c>
      <c r="C445" s="5">
        <v>51056820.560000002</v>
      </c>
      <c r="D445" s="2">
        <v>44949</v>
      </c>
      <c r="E445" s="5">
        <f t="shared" si="10"/>
        <v>107219323.17600001</v>
      </c>
      <c r="F445" s="2">
        <v>44950</v>
      </c>
      <c r="G445" s="3" t="s">
        <v>446</v>
      </c>
      <c r="H445" t="s">
        <v>150</v>
      </c>
      <c r="I445" s="7">
        <v>49689</v>
      </c>
      <c r="J445" t="s">
        <v>20</v>
      </c>
      <c r="K445" s="12">
        <v>3300</v>
      </c>
      <c r="L445" t="s">
        <v>0</v>
      </c>
      <c r="M445" s="12">
        <v>56321.1</v>
      </c>
      <c r="N445" t="s">
        <v>1</v>
      </c>
      <c r="O445" s="12">
        <v>17.07</v>
      </c>
      <c r="P445" s="12">
        <v>10847.88</v>
      </c>
      <c r="Q445" s="12">
        <v>3.29</v>
      </c>
    </row>
    <row r="446" spans="1:17" x14ac:dyDescent="0.2">
      <c r="A446" t="s">
        <v>29</v>
      </c>
      <c r="B446" t="s">
        <v>30</v>
      </c>
      <c r="C446" s="5">
        <v>51056820.950000003</v>
      </c>
      <c r="D446" s="2">
        <v>44945</v>
      </c>
      <c r="E446" s="5">
        <f t="shared" si="10"/>
        <v>107219323.995</v>
      </c>
      <c r="F446" s="2">
        <v>44950</v>
      </c>
      <c r="G446" s="3" t="s">
        <v>531</v>
      </c>
      <c r="H446" t="s">
        <v>224</v>
      </c>
      <c r="I446" s="7">
        <v>49731</v>
      </c>
      <c r="J446" t="s">
        <v>23</v>
      </c>
      <c r="K446" s="12">
        <v>30360</v>
      </c>
      <c r="L446" t="s">
        <v>0</v>
      </c>
      <c r="M446" s="12">
        <v>551003.64</v>
      </c>
      <c r="N446" t="s">
        <v>1</v>
      </c>
      <c r="O446" s="12">
        <v>18.149999999999999</v>
      </c>
      <c r="P446" s="12">
        <v>106127.55</v>
      </c>
      <c r="Q446" s="12">
        <v>3.5</v>
      </c>
    </row>
    <row r="447" spans="1:17" x14ac:dyDescent="0.2">
      <c r="A447" t="s">
        <v>29</v>
      </c>
      <c r="B447" t="s">
        <v>30</v>
      </c>
      <c r="C447" s="5">
        <v>51056823.289999999</v>
      </c>
      <c r="D447" s="2">
        <v>44945</v>
      </c>
      <c r="E447" s="5">
        <f t="shared" si="10"/>
        <v>107219328.90900001</v>
      </c>
      <c r="F447" s="2">
        <v>44950</v>
      </c>
      <c r="G447" s="3" t="s">
        <v>489</v>
      </c>
      <c r="H447" t="s">
        <v>191</v>
      </c>
      <c r="I447" s="7">
        <v>49689</v>
      </c>
      <c r="J447" t="s">
        <v>20</v>
      </c>
      <c r="K447" s="12">
        <v>33180</v>
      </c>
      <c r="L447" t="s">
        <v>0</v>
      </c>
      <c r="M447" s="12">
        <v>544705</v>
      </c>
      <c r="N447" t="s">
        <v>1</v>
      </c>
      <c r="O447" s="12">
        <v>16.420000000000002</v>
      </c>
      <c r="P447" s="12">
        <v>104914.39</v>
      </c>
      <c r="Q447" s="12">
        <v>3.16</v>
      </c>
    </row>
    <row r="448" spans="1:17" x14ac:dyDescent="0.2">
      <c r="A448" t="s">
        <v>29</v>
      </c>
      <c r="B448" t="s">
        <v>30</v>
      </c>
      <c r="C448" s="5">
        <v>51056825.579999998</v>
      </c>
      <c r="D448" s="2">
        <v>44945</v>
      </c>
      <c r="E448" s="5">
        <f t="shared" si="10"/>
        <v>107219333.71799999</v>
      </c>
      <c r="F448" s="2">
        <v>44950</v>
      </c>
      <c r="G448" s="3" t="s">
        <v>532</v>
      </c>
      <c r="H448" t="s">
        <v>225</v>
      </c>
      <c r="I448" s="7">
        <v>49689</v>
      </c>
      <c r="J448" t="s">
        <v>20</v>
      </c>
      <c r="K448" s="12">
        <v>15000</v>
      </c>
      <c r="L448" t="s">
        <v>0</v>
      </c>
      <c r="M448" s="12">
        <v>268845</v>
      </c>
      <c r="N448" t="s">
        <v>1</v>
      </c>
      <c r="O448" s="12">
        <v>17.920000000000002</v>
      </c>
      <c r="P448" s="12">
        <v>51781.62</v>
      </c>
      <c r="Q448" s="12">
        <v>3.45</v>
      </c>
    </row>
    <row r="449" spans="1:17" x14ac:dyDescent="0.2">
      <c r="A449" t="s">
        <v>29</v>
      </c>
      <c r="B449" t="s">
        <v>30</v>
      </c>
      <c r="C449" s="5">
        <v>51056825.780000001</v>
      </c>
      <c r="D449" s="2">
        <v>44945</v>
      </c>
      <c r="E449" s="5">
        <f t="shared" si="10"/>
        <v>107219334.13800001</v>
      </c>
      <c r="F449" s="2">
        <v>44950</v>
      </c>
      <c r="G449" s="3" t="s">
        <v>532</v>
      </c>
      <c r="H449" t="s">
        <v>225</v>
      </c>
      <c r="I449" s="7">
        <v>49689</v>
      </c>
      <c r="J449" t="s">
        <v>20</v>
      </c>
      <c r="K449" s="12">
        <v>15000</v>
      </c>
      <c r="L449" t="s">
        <v>0</v>
      </c>
      <c r="M449" s="12">
        <v>268845</v>
      </c>
      <c r="N449" t="s">
        <v>1</v>
      </c>
      <c r="O449" s="12">
        <v>17.920000000000002</v>
      </c>
      <c r="P449" s="12">
        <v>51781.62</v>
      </c>
      <c r="Q449" s="12">
        <v>3.45</v>
      </c>
    </row>
    <row r="450" spans="1:17" x14ac:dyDescent="0.2">
      <c r="A450" t="s">
        <v>29</v>
      </c>
      <c r="B450" t="s">
        <v>30</v>
      </c>
      <c r="C450" s="5">
        <v>51056825.840000004</v>
      </c>
      <c r="D450" s="2">
        <v>44944</v>
      </c>
      <c r="E450" s="5">
        <f t="shared" si="10"/>
        <v>107219334.26400001</v>
      </c>
      <c r="F450" s="2">
        <v>44950</v>
      </c>
      <c r="G450" s="3" t="s">
        <v>515</v>
      </c>
      <c r="H450" t="s">
        <v>98</v>
      </c>
      <c r="I450" s="7">
        <v>49689</v>
      </c>
      <c r="J450" t="s">
        <v>20</v>
      </c>
      <c r="K450" s="12">
        <v>15720</v>
      </c>
      <c r="L450" t="s">
        <v>0</v>
      </c>
      <c r="M450" s="12">
        <v>263316.28999999998</v>
      </c>
      <c r="N450" t="s">
        <v>1</v>
      </c>
      <c r="O450" s="12">
        <v>16.75</v>
      </c>
      <c r="P450" s="12">
        <v>50716.75</v>
      </c>
      <c r="Q450" s="12">
        <v>3.23</v>
      </c>
    </row>
    <row r="451" spans="1:17" x14ac:dyDescent="0.2">
      <c r="A451" t="s">
        <v>29</v>
      </c>
      <c r="B451" t="s">
        <v>30</v>
      </c>
      <c r="C451" s="5">
        <v>51056825.859999999</v>
      </c>
      <c r="D451" s="2">
        <v>44944</v>
      </c>
      <c r="E451" s="5">
        <f t="shared" si="10"/>
        <v>107219334.30600001</v>
      </c>
      <c r="F451" s="2">
        <v>44950</v>
      </c>
      <c r="G451" s="3" t="s">
        <v>515</v>
      </c>
      <c r="H451" t="s">
        <v>98</v>
      </c>
      <c r="I451" s="7">
        <v>49689</v>
      </c>
      <c r="J451" t="s">
        <v>20</v>
      </c>
      <c r="K451" s="12">
        <v>20120</v>
      </c>
      <c r="L451" t="s">
        <v>0</v>
      </c>
      <c r="M451" s="12">
        <v>337018.05</v>
      </c>
      <c r="N451" t="s">
        <v>1</v>
      </c>
      <c r="O451" s="12">
        <v>16.75</v>
      </c>
      <c r="P451" s="12">
        <v>64912.28</v>
      </c>
      <c r="Q451" s="12">
        <v>3.23</v>
      </c>
    </row>
    <row r="452" spans="1:17" x14ac:dyDescent="0.2">
      <c r="A452" t="s">
        <v>29</v>
      </c>
      <c r="B452" t="s">
        <v>30</v>
      </c>
      <c r="C452" s="5">
        <v>51056826.030000001</v>
      </c>
      <c r="D452" s="2">
        <v>44945</v>
      </c>
      <c r="E452" s="5">
        <f t="shared" si="10"/>
        <v>107219334.663</v>
      </c>
      <c r="F452" s="2">
        <v>44950</v>
      </c>
      <c r="G452" s="3" t="s">
        <v>532</v>
      </c>
      <c r="H452" t="s">
        <v>225</v>
      </c>
      <c r="I452" s="7">
        <v>49689</v>
      </c>
      <c r="J452" t="s">
        <v>20</v>
      </c>
      <c r="K452" s="12">
        <v>15000</v>
      </c>
      <c r="L452" t="s">
        <v>0</v>
      </c>
      <c r="M452" s="12">
        <v>268845</v>
      </c>
      <c r="N452" t="s">
        <v>1</v>
      </c>
      <c r="O452" s="12">
        <v>17.920000000000002</v>
      </c>
      <c r="P452" s="12">
        <v>51781.62</v>
      </c>
      <c r="Q452" s="12">
        <v>3.45</v>
      </c>
    </row>
    <row r="453" spans="1:17" x14ac:dyDescent="0.2">
      <c r="A453" t="s">
        <v>29</v>
      </c>
      <c r="B453" t="s">
        <v>30</v>
      </c>
      <c r="C453" s="5">
        <v>51056826.539999999</v>
      </c>
      <c r="D453" s="2">
        <v>44944</v>
      </c>
      <c r="E453" s="5">
        <f t="shared" si="10"/>
        <v>107219335.734</v>
      </c>
      <c r="F453" s="2">
        <v>44950</v>
      </c>
      <c r="G453" s="3" t="s">
        <v>533</v>
      </c>
      <c r="H453" t="s">
        <v>226</v>
      </c>
      <c r="I453" s="7">
        <v>49689</v>
      </c>
      <c r="J453" t="s">
        <v>20</v>
      </c>
      <c r="K453" s="12">
        <v>14400</v>
      </c>
      <c r="L453" t="s">
        <v>0</v>
      </c>
      <c r="M453" s="12">
        <v>241204.32</v>
      </c>
      <c r="N453" t="s">
        <v>1</v>
      </c>
      <c r="O453" s="12">
        <v>16.75</v>
      </c>
      <c r="P453" s="12">
        <v>46457.81</v>
      </c>
      <c r="Q453" s="12">
        <v>3.23</v>
      </c>
    </row>
    <row r="454" spans="1:17" x14ac:dyDescent="0.2">
      <c r="A454" t="s">
        <v>29</v>
      </c>
      <c r="B454" t="s">
        <v>30</v>
      </c>
      <c r="C454" s="5">
        <v>51056826.579999998</v>
      </c>
      <c r="D454" s="2">
        <v>44945</v>
      </c>
      <c r="E454" s="5">
        <f t="shared" si="10"/>
        <v>107219335.818</v>
      </c>
      <c r="F454" s="2">
        <v>44950</v>
      </c>
      <c r="G454" s="3" t="s">
        <v>532</v>
      </c>
      <c r="H454" t="s">
        <v>225</v>
      </c>
      <c r="I454" s="7">
        <v>49689</v>
      </c>
      <c r="J454" t="s">
        <v>20</v>
      </c>
      <c r="K454" s="12">
        <v>15000</v>
      </c>
      <c r="L454" t="s">
        <v>0</v>
      </c>
      <c r="M454" s="12">
        <v>268845</v>
      </c>
      <c r="N454" t="s">
        <v>1</v>
      </c>
      <c r="O454" s="12">
        <v>17.920000000000002</v>
      </c>
      <c r="P454" s="12">
        <v>51781.62</v>
      </c>
      <c r="Q454" s="12">
        <v>3.45</v>
      </c>
    </row>
    <row r="455" spans="1:17" x14ac:dyDescent="0.2">
      <c r="A455" t="s">
        <v>29</v>
      </c>
      <c r="B455" t="s">
        <v>30</v>
      </c>
      <c r="C455" s="5">
        <v>51056826.620000005</v>
      </c>
      <c r="D455" s="2">
        <v>44949</v>
      </c>
      <c r="E455" s="5">
        <f t="shared" si="10"/>
        <v>107219335.90200001</v>
      </c>
      <c r="F455" s="2">
        <v>44950</v>
      </c>
      <c r="G455" s="3" t="s">
        <v>430</v>
      </c>
      <c r="H455" t="s">
        <v>135</v>
      </c>
      <c r="I455" s="7">
        <v>49689</v>
      </c>
      <c r="J455" t="s">
        <v>20</v>
      </c>
      <c r="K455" s="12">
        <v>18000</v>
      </c>
      <c r="L455" t="s">
        <v>0</v>
      </c>
      <c r="M455" s="12">
        <v>275492.99</v>
      </c>
      <c r="N455" t="s">
        <v>1</v>
      </c>
      <c r="O455" s="12">
        <v>15.31</v>
      </c>
      <c r="P455" s="12">
        <v>53062.080000000002</v>
      </c>
      <c r="Q455" s="12">
        <v>2.95</v>
      </c>
    </row>
    <row r="456" spans="1:17" x14ac:dyDescent="0.2">
      <c r="A456" t="s">
        <v>29</v>
      </c>
      <c r="B456" t="s">
        <v>30</v>
      </c>
      <c r="C456" s="5">
        <v>51056826.789999999</v>
      </c>
      <c r="D456" s="2">
        <v>44945</v>
      </c>
      <c r="E456" s="5">
        <f t="shared" si="10"/>
        <v>107219336.259</v>
      </c>
      <c r="F456" s="2">
        <v>44950</v>
      </c>
      <c r="G456" s="3" t="s">
        <v>420</v>
      </c>
      <c r="H456" t="s">
        <v>125</v>
      </c>
      <c r="I456" s="7">
        <v>49689</v>
      </c>
      <c r="J456" t="s">
        <v>20</v>
      </c>
      <c r="K456" s="12">
        <v>3660</v>
      </c>
      <c r="L456" t="s">
        <v>0</v>
      </c>
      <c r="M456" s="12">
        <v>62579.29</v>
      </c>
      <c r="N456" t="s">
        <v>1</v>
      </c>
      <c r="O456" s="12">
        <v>17.100000000000001</v>
      </c>
      <c r="P456" s="12">
        <v>12053.25</v>
      </c>
      <c r="Q456" s="12">
        <v>3.29</v>
      </c>
    </row>
    <row r="457" spans="1:17" x14ac:dyDescent="0.2">
      <c r="A457" t="s">
        <v>29</v>
      </c>
      <c r="B457" t="s">
        <v>30</v>
      </c>
      <c r="C457" s="5">
        <v>51056827.520000003</v>
      </c>
      <c r="D457" s="2">
        <v>44950</v>
      </c>
      <c r="E457" s="5">
        <f t="shared" si="10"/>
        <v>107219337.79200001</v>
      </c>
      <c r="F457" s="2">
        <v>44950</v>
      </c>
      <c r="G457" s="3" t="s">
        <v>534</v>
      </c>
      <c r="H457" t="s">
        <v>227</v>
      </c>
      <c r="I457" s="7">
        <v>49689</v>
      </c>
      <c r="J457" t="s">
        <v>20</v>
      </c>
      <c r="K457" s="12">
        <v>5520</v>
      </c>
      <c r="L457" t="s">
        <v>0</v>
      </c>
      <c r="M457" s="12">
        <v>94173.41</v>
      </c>
      <c r="N457" t="s">
        <v>1</v>
      </c>
      <c r="O457" s="12">
        <v>17.059999999999999</v>
      </c>
      <c r="P457" s="12">
        <v>18138.53</v>
      </c>
      <c r="Q457" s="12">
        <v>3.29</v>
      </c>
    </row>
    <row r="458" spans="1:17" x14ac:dyDescent="0.2">
      <c r="A458" t="s">
        <v>29</v>
      </c>
      <c r="B458" t="s">
        <v>30</v>
      </c>
      <c r="C458" s="5">
        <v>51056827.560000002</v>
      </c>
      <c r="D458" s="2">
        <v>44945</v>
      </c>
      <c r="E458" s="5">
        <f t="shared" si="10"/>
        <v>107219337.87600002</v>
      </c>
      <c r="F458" s="2">
        <v>44950</v>
      </c>
      <c r="G458" s="3" t="s">
        <v>420</v>
      </c>
      <c r="H458" t="s">
        <v>125</v>
      </c>
      <c r="I458" s="7">
        <v>49689</v>
      </c>
      <c r="J458" t="s">
        <v>20</v>
      </c>
      <c r="K458" s="12">
        <v>2160</v>
      </c>
      <c r="L458" t="s">
        <v>0</v>
      </c>
      <c r="M458" s="12">
        <v>36361.08</v>
      </c>
      <c r="N458" t="s">
        <v>1</v>
      </c>
      <c r="O458" s="12">
        <v>16.829999999999998</v>
      </c>
      <c r="P458" s="12">
        <v>7003.42</v>
      </c>
      <c r="Q458" s="12">
        <v>3.24</v>
      </c>
    </row>
    <row r="459" spans="1:17" x14ac:dyDescent="0.2">
      <c r="A459" t="s">
        <v>29</v>
      </c>
      <c r="B459" t="s">
        <v>30</v>
      </c>
      <c r="C459" s="5">
        <v>51056827.579999998</v>
      </c>
      <c r="D459" s="2">
        <v>44944</v>
      </c>
      <c r="E459" s="5">
        <f t="shared" si="10"/>
        <v>107219337.918</v>
      </c>
      <c r="F459" s="2">
        <v>44950</v>
      </c>
      <c r="G459" s="3" t="s">
        <v>364</v>
      </c>
      <c r="H459" t="s">
        <v>73</v>
      </c>
      <c r="I459" s="7">
        <v>49732</v>
      </c>
      <c r="J459" t="s">
        <v>27</v>
      </c>
      <c r="K459" s="12">
        <v>18000</v>
      </c>
      <c r="L459" t="s">
        <v>0</v>
      </c>
      <c r="M459" s="12">
        <v>303900</v>
      </c>
      <c r="N459" t="s">
        <v>1</v>
      </c>
      <c r="O459" s="12">
        <v>16.88</v>
      </c>
      <c r="P459" s="12">
        <v>58533.48</v>
      </c>
      <c r="Q459" s="12">
        <v>3.25</v>
      </c>
    </row>
    <row r="460" spans="1:17" x14ac:dyDescent="0.2">
      <c r="A460" t="s">
        <v>29</v>
      </c>
      <c r="B460" t="s">
        <v>30</v>
      </c>
      <c r="C460" s="5">
        <v>51056827.969999999</v>
      </c>
      <c r="D460" s="2">
        <v>44944</v>
      </c>
      <c r="E460" s="5">
        <f t="shared" si="10"/>
        <v>107219338.737</v>
      </c>
      <c r="F460" s="2">
        <v>44950</v>
      </c>
      <c r="G460" s="3" t="s">
        <v>446</v>
      </c>
      <c r="H460" t="s">
        <v>150</v>
      </c>
      <c r="I460" s="7">
        <v>49689</v>
      </c>
      <c r="J460" t="s">
        <v>20</v>
      </c>
      <c r="K460" s="12">
        <v>7200</v>
      </c>
      <c r="L460" t="s">
        <v>0</v>
      </c>
      <c r="M460" s="12">
        <v>121560</v>
      </c>
      <c r="N460" t="s">
        <v>1</v>
      </c>
      <c r="O460" s="12">
        <v>16.88</v>
      </c>
      <c r="P460" s="12">
        <v>23413.39</v>
      </c>
      <c r="Q460" s="12">
        <v>3.25</v>
      </c>
    </row>
    <row r="461" spans="1:17" x14ac:dyDescent="0.2">
      <c r="A461" t="s">
        <v>29</v>
      </c>
      <c r="B461" t="s">
        <v>30</v>
      </c>
      <c r="C461" s="5">
        <v>51056829.039999999</v>
      </c>
      <c r="D461" s="2">
        <v>44944</v>
      </c>
      <c r="E461" s="5">
        <f t="shared" si="10"/>
        <v>107219340.984</v>
      </c>
      <c r="F461" s="2">
        <v>44950</v>
      </c>
      <c r="G461" s="3" t="s">
        <v>446</v>
      </c>
      <c r="H461" t="s">
        <v>150</v>
      </c>
      <c r="I461" s="7">
        <v>49689</v>
      </c>
      <c r="J461" t="s">
        <v>20</v>
      </c>
      <c r="K461" s="12">
        <v>4980</v>
      </c>
      <c r="L461" t="s">
        <v>0</v>
      </c>
      <c r="M461" s="12">
        <v>83440.73</v>
      </c>
      <c r="N461" t="s">
        <v>1</v>
      </c>
      <c r="O461" s="12">
        <v>16.760000000000002</v>
      </c>
      <c r="P461" s="12">
        <v>16075.74</v>
      </c>
      <c r="Q461" s="12">
        <v>3.23</v>
      </c>
    </row>
    <row r="462" spans="1:17" x14ac:dyDescent="0.2">
      <c r="A462" t="s">
        <v>29</v>
      </c>
      <c r="B462" t="s">
        <v>30</v>
      </c>
      <c r="C462" s="5">
        <v>51056829.640000001</v>
      </c>
      <c r="D462" s="2">
        <v>44949</v>
      </c>
      <c r="E462" s="5">
        <f t="shared" si="10"/>
        <v>107219342.244</v>
      </c>
      <c r="F462" s="2">
        <v>44950</v>
      </c>
      <c r="G462" s="3" t="s">
        <v>468</v>
      </c>
      <c r="H462" t="s">
        <v>133</v>
      </c>
      <c r="I462" s="7">
        <v>49689</v>
      </c>
      <c r="J462" t="s">
        <v>20</v>
      </c>
      <c r="K462" s="12">
        <v>2038</v>
      </c>
      <c r="L462" t="s">
        <v>0</v>
      </c>
      <c r="M462" s="12">
        <v>35917.300000000003</v>
      </c>
      <c r="N462" t="s">
        <v>1</v>
      </c>
      <c r="O462" s="12">
        <v>17.62</v>
      </c>
      <c r="P462" s="12">
        <v>6917.95</v>
      </c>
      <c r="Q462" s="12">
        <v>3.39</v>
      </c>
    </row>
    <row r="463" spans="1:17" x14ac:dyDescent="0.2">
      <c r="A463" t="s">
        <v>29</v>
      </c>
      <c r="B463" t="s">
        <v>30</v>
      </c>
      <c r="C463" s="5">
        <v>51056843.390000001</v>
      </c>
      <c r="D463" s="2">
        <v>44950</v>
      </c>
      <c r="E463" s="5">
        <f t="shared" si="10"/>
        <v>107219371.119</v>
      </c>
      <c r="F463" s="2">
        <v>44951</v>
      </c>
      <c r="G463" s="3" t="s">
        <v>535</v>
      </c>
      <c r="H463" t="s">
        <v>228</v>
      </c>
      <c r="I463" s="7">
        <v>49689</v>
      </c>
      <c r="J463" t="s">
        <v>20</v>
      </c>
      <c r="K463" s="12">
        <v>3180</v>
      </c>
      <c r="L463" t="s">
        <v>0</v>
      </c>
      <c r="M463" s="12">
        <v>54039.64</v>
      </c>
      <c r="N463" t="s">
        <v>1</v>
      </c>
      <c r="O463" s="12">
        <v>16.989999999999998</v>
      </c>
      <c r="P463" s="12">
        <v>10453.959999999999</v>
      </c>
      <c r="Q463" s="12">
        <v>3.29</v>
      </c>
    </row>
    <row r="464" spans="1:17" x14ac:dyDescent="0.2">
      <c r="A464" t="s">
        <v>29</v>
      </c>
      <c r="B464" t="s">
        <v>30</v>
      </c>
      <c r="C464" s="5">
        <v>51056846.43</v>
      </c>
      <c r="D464" s="2">
        <v>44949</v>
      </c>
      <c r="E464" s="5">
        <f t="shared" si="10"/>
        <v>107219377.50300001</v>
      </c>
      <c r="F464" s="2">
        <v>44951</v>
      </c>
      <c r="G464" s="3" t="s">
        <v>536</v>
      </c>
      <c r="H464" t="s">
        <v>229</v>
      </c>
      <c r="I464" s="7">
        <v>49738</v>
      </c>
      <c r="J464" t="s">
        <v>21</v>
      </c>
      <c r="K464" s="12">
        <v>19800</v>
      </c>
      <c r="L464" t="s">
        <v>0</v>
      </c>
      <c r="M464" s="12">
        <v>231000</v>
      </c>
      <c r="N464" t="s">
        <v>1</v>
      </c>
      <c r="O464" s="12">
        <v>11.67</v>
      </c>
      <c r="P464" s="12">
        <v>44699.67</v>
      </c>
      <c r="Q464" s="12">
        <v>2.2599999999999998</v>
      </c>
    </row>
    <row r="465" spans="1:17" x14ac:dyDescent="0.2">
      <c r="A465" t="s">
        <v>29</v>
      </c>
      <c r="B465" t="s">
        <v>30</v>
      </c>
      <c r="C465" s="5">
        <v>51056846.469999999</v>
      </c>
      <c r="D465" s="2">
        <v>44950</v>
      </c>
      <c r="E465" s="5">
        <f t="shared" si="10"/>
        <v>107219377.587</v>
      </c>
      <c r="F465" s="2">
        <v>44951</v>
      </c>
      <c r="G465" s="3" t="s">
        <v>537</v>
      </c>
      <c r="H465" t="s">
        <v>230</v>
      </c>
      <c r="I465" s="7">
        <v>49689</v>
      </c>
      <c r="J465" t="s">
        <v>20</v>
      </c>
      <c r="K465" s="12">
        <v>10440</v>
      </c>
      <c r="L465" t="s">
        <v>0</v>
      </c>
      <c r="M465" s="12">
        <v>170466.93</v>
      </c>
      <c r="N465" t="s">
        <v>1</v>
      </c>
      <c r="O465" s="12">
        <v>16.329999999999998</v>
      </c>
      <c r="P465" s="12">
        <v>32976.79</v>
      </c>
      <c r="Q465" s="12">
        <v>3.16</v>
      </c>
    </row>
    <row r="466" spans="1:17" x14ac:dyDescent="0.2">
      <c r="A466" t="s">
        <v>29</v>
      </c>
      <c r="B466" t="s">
        <v>30</v>
      </c>
      <c r="C466" s="5">
        <v>51056846.480000004</v>
      </c>
      <c r="D466" s="2">
        <v>44950</v>
      </c>
      <c r="E466" s="5">
        <f t="shared" si="10"/>
        <v>107219377.60800001</v>
      </c>
      <c r="F466" s="2">
        <v>44951</v>
      </c>
      <c r="G466" s="3" t="s">
        <v>430</v>
      </c>
      <c r="H466" t="s">
        <v>135</v>
      </c>
      <c r="I466" s="7">
        <v>49689</v>
      </c>
      <c r="J466" t="s">
        <v>20</v>
      </c>
      <c r="K466" s="12">
        <v>19200</v>
      </c>
      <c r="L466" t="s">
        <v>0</v>
      </c>
      <c r="M466" s="12">
        <v>335721.6</v>
      </c>
      <c r="N466" t="s">
        <v>1</v>
      </c>
      <c r="O466" s="12">
        <v>17.489999999999998</v>
      </c>
      <c r="P466" s="12">
        <v>64961.95</v>
      </c>
      <c r="Q466" s="12">
        <v>3.38</v>
      </c>
    </row>
    <row r="467" spans="1:17" x14ac:dyDescent="0.2">
      <c r="A467" t="s">
        <v>29</v>
      </c>
      <c r="B467" t="s">
        <v>30</v>
      </c>
      <c r="C467" s="5">
        <v>51056846.740000002</v>
      </c>
      <c r="D467" s="2">
        <v>44949</v>
      </c>
      <c r="E467" s="5">
        <f t="shared" si="10"/>
        <v>107219378.15400001</v>
      </c>
      <c r="F467" s="2">
        <v>44951</v>
      </c>
      <c r="G467" s="3" t="s">
        <v>538</v>
      </c>
      <c r="H467" t="s">
        <v>231</v>
      </c>
      <c r="I467" s="7">
        <v>49689</v>
      </c>
      <c r="J467" t="s">
        <v>20</v>
      </c>
      <c r="K467" s="12">
        <v>2520</v>
      </c>
      <c r="L467" t="s">
        <v>0</v>
      </c>
      <c r="M467" s="12">
        <v>45170.58</v>
      </c>
      <c r="N467" t="s">
        <v>1</v>
      </c>
      <c r="O467" s="12">
        <v>17.920000000000002</v>
      </c>
      <c r="P467" s="12">
        <v>8738.24</v>
      </c>
      <c r="Q467" s="12">
        <v>3.47</v>
      </c>
    </row>
    <row r="468" spans="1:17" x14ac:dyDescent="0.2">
      <c r="A468" t="s">
        <v>29</v>
      </c>
      <c r="B468" t="s">
        <v>30</v>
      </c>
      <c r="C468" s="5">
        <v>51056846.75</v>
      </c>
      <c r="D468" s="2">
        <v>44944</v>
      </c>
      <c r="E468" s="5">
        <f t="shared" si="10"/>
        <v>107219378.17500001</v>
      </c>
      <c r="F468" s="2">
        <v>44951</v>
      </c>
      <c r="G468" s="3" t="s">
        <v>364</v>
      </c>
      <c r="H468" t="s">
        <v>73</v>
      </c>
      <c r="I468" s="7">
        <v>49732</v>
      </c>
      <c r="J468" t="s">
        <v>27</v>
      </c>
      <c r="K468" s="12">
        <v>5100</v>
      </c>
      <c r="L468" t="s">
        <v>0</v>
      </c>
      <c r="M468" s="12">
        <v>86105</v>
      </c>
      <c r="N468" t="s">
        <v>1</v>
      </c>
      <c r="O468" s="12">
        <v>16.88</v>
      </c>
      <c r="P468" s="12">
        <v>16653.82</v>
      </c>
      <c r="Q468" s="12">
        <v>3.27</v>
      </c>
    </row>
    <row r="469" spans="1:17" x14ac:dyDescent="0.2">
      <c r="A469" t="s">
        <v>29</v>
      </c>
      <c r="B469" t="s">
        <v>30</v>
      </c>
      <c r="C469" s="5">
        <v>51056848.640000001</v>
      </c>
      <c r="D469" s="2">
        <v>44949</v>
      </c>
      <c r="E469" s="5">
        <f t="shared" si="10"/>
        <v>107219382.14400001</v>
      </c>
      <c r="F469" s="2">
        <v>44951</v>
      </c>
      <c r="G469" s="3" t="s">
        <v>468</v>
      </c>
      <c r="H469" t="s">
        <v>133</v>
      </c>
      <c r="I469" s="7">
        <v>49689</v>
      </c>
      <c r="J469" t="s">
        <v>20</v>
      </c>
      <c r="K469" s="12">
        <v>1968</v>
      </c>
      <c r="L469" t="s">
        <v>0</v>
      </c>
      <c r="M469" s="12">
        <v>35198.660000000003</v>
      </c>
      <c r="N469" t="s">
        <v>1</v>
      </c>
      <c r="O469" s="12">
        <v>17.89</v>
      </c>
      <c r="P469" s="12">
        <v>6809.17</v>
      </c>
      <c r="Q469" s="12">
        <v>3.46</v>
      </c>
    </row>
    <row r="470" spans="1:17" x14ac:dyDescent="0.2">
      <c r="A470" t="s">
        <v>29</v>
      </c>
      <c r="B470" t="s">
        <v>30</v>
      </c>
      <c r="C470" s="5">
        <v>51056848.810000002</v>
      </c>
      <c r="D470" s="2">
        <v>44936</v>
      </c>
      <c r="E470" s="5">
        <f t="shared" si="10"/>
        <v>107219382.50100002</v>
      </c>
      <c r="F470" s="2">
        <v>44951</v>
      </c>
      <c r="G470" s="3" t="s">
        <v>329</v>
      </c>
      <c r="H470" t="s">
        <v>39</v>
      </c>
      <c r="I470" s="7">
        <v>35333</v>
      </c>
      <c r="J470" t="s">
        <v>22</v>
      </c>
      <c r="K470" s="12">
        <v>18.741</v>
      </c>
      <c r="L470" t="s">
        <v>2</v>
      </c>
      <c r="M470" s="12">
        <v>272013.90000000002</v>
      </c>
      <c r="N470" t="s">
        <v>1</v>
      </c>
      <c r="O470" s="12">
        <v>14514.37</v>
      </c>
      <c r="P470" s="12">
        <v>52621.05</v>
      </c>
      <c r="Q470" s="12">
        <v>2807.8</v>
      </c>
    </row>
    <row r="471" spans="1:17" x14ac:dyDescent="0.2">
      <c r="A471" t="s">
        <v>29</v>
      </c>
      <c r="B471" t="s">
        <v>30</v>
      </c>
      <c r="C471" s="5">
        <v>51056849.390000001</v>
      </c>
      <c r="D471" s="2">
        <v>44950</v>
      </c>
      <c r="E471" s="5">
        <f t="shared" si="10"/>
        <v>107219383.71900001</v>
      </c>
      <c r="F471" s="2">
        <v>44951</v>
      </c>
      <c r="G471" s="3" t="s">
        <v>420</v>
      </c>
      <c r="H471" t="s">
        <v>125</v>
      </c>
      <c r="I471" s="7">
        <v>49689</v>
      </c>
      <c r="J471" t="s">
        <v>20</v>
      </c>
      <c r="K471" s="12">
        <v>12000</v>
      </c>
      <c r="L471" t="s">
        <v>0</v>
      </c>
      <c r="M471" s="12">
        <v>195000</v>
      </c>
      <c r="N471" t="s">
        <v>1</v>
      </c>
      <c r="O471" s="12">
        <v>16.25</v>
      </c>
      <c r="P471" s="12">
        <v>37722.71</v>
      </c>
      <c r="Q471" s="12">
        <v>3.14</v>
      </c>
    </row>
    <row r="472" spans="1:17" x14ac:dyDescent="0.2">
      <c r="A472" t="s">
        <v>29</v>
      </c>
      <c r="B472" t="s">
        <v>30</v>
      </c>
      <c r="C472" s="5">
        <v>51056849.640000001</v>
      </c>
      <c r="D472" s="2">
        <v>44949</v>
      </c>
      <c r="E472" s="5">
        <f t="shared" si="10"/>
        <v>107219384.244</v>
      </c>
      <c r="F472" s="2">
        <v>44951</v>
      </c>
      <c r="G472" s="3" t="s">
        <v>520</v>
      </c>
      <c r="H472" t="s">
        <v>216</v>
      </c>
      <c r="I472" s="7">
        <v>49689</v>
      </c>
      <c r="J472" t="s">
        <v>20</v>
      </c>
      <c r="K472" s="12">
        <v>8010</v>
      </c>
      <c r="L472" t="s">
        <v>0</v>
      </c>
      <c r="M472" s="12">
        <v>140175</v>
      </c>
      <c r="N472" t="s">
        <v>1</v>
      </c>
      <c r="O472" s="12">
        <v>17.5</v>
      </c>
      <c r="P472" s="12">
        <v>27116.82</v>
      </c>
      <c r="Q472" s="12">
        <v>3.39</v>
      </c>
    </row>
    <row r="473" spans="1:17" x14ac:dyDescent="0.2">
      <c r="A473" t="s">
        <v>29</v>
      </c>
      <c r="B473" t="s">
        <v>30</v>
      </c>
      <c r="C473" s="5">
        <v>51056849.770000003</v>
      </c>
      <c r="D473" s="2">
        <v>44950</v>
      </c>
      <c r="E473" s="5">
        <f t="shared" si="10"/>
        <v>107219384.517</v>
      </c>
      <c r="F473" s="2">
        <v>44951</v>
      </c>
      <c r="G473" s="3" t="s">
        <v>446</v>
      </c>
      <c r="H473" t="s">
        <v>150</v>
      </c>
      <c r="I473" s="7">
        <v>49689</v>
      </c>
      <c r="J473" t="s">
        <v>20</v>
      </c>
      <c r="K473" s="12">
        <v>7800</v>
      </c>
      <c r="L473" t="s">
        <v>0</v>
      </c>
      <c r="M473" s="12">
        <v>113045.4</v>
      </c>
      <c r="N473" t="s">
        <v>1</v>
      </c>
      <c r="O473" s="12">
        <v>14.49</v>
      </c>
      <c r="P473" s="12">
        <v>21868.61</v>
      </c>
      <c r="Q473" s="12">
        <v>2.8</v>
      </c>
    </row>
    <row r="474" spans="1:17" x14ac:dyDescent="0.2">
      <c r="A474" t="s">
        <v>29</v>
      </c>
      <c r="B474" t="s">
        <v>30</v>
      </c>
      <c r="C474" s="5">
        <v>51056850.230000004</v>
      </c>
      <c r="D474" s="2">
        <v>44944</v>
      </c>
      <c r="E474" s="5">
        <f t="shared" si="10"/>
        <v>107219385.48300001</v>
      </c>
      <c r="F474" s="2">
        <v>44951</v>
      </c>
      <c r="G474" s="3" t="s">
        <v>533</v>
      </c>
      <c r="H474" t="s">
        <v>226</v>
      </c>
      <c r="I474" s="7">
        <v>49689</v>
      </c>
      <c r="J474" t="s">
        <v>20</v>
      </c>
      <c r="K474" s="12">
        <v>9860</v>
      </c>
      <c r="L474" t="s">
        <v>0</v>
      </c>
      <c r="M474" s="12">
        <v>160203.31</v>
      </c>
      <c r="N474" t="s">
        <v>1</v>
      </c>
      <c r="O474" s="12">
        <v>16.25</v>
      </c>
      <c r="P474" s="12">
        <v>30991.3</v>
      </c>
      <c r="Q474" s="12">
        <v>3.14</v>
      </c>
    </row>
    <row r="475" spans="1:17" x14ac:dyDescent="0.2">
      <c r="A475" t="s">
        <v>29</v>
      </c>
      <c r="B475" t="s">
        <v>30</v>
      </c>
      <c r="C475" s="5">
        <v>51056850.259999998</v>
      </c>
      <c r="D475" s="2">
        <v>44945</v>
      </c>
      <c r="E475" s="5">
        <f t="shared" si="10"/>
        <v>107219385.546</v>
      </c>
      <c r="F475" s="2">
        <v>44951</v>
      </c>
      <c r="G475" s="3" t="s">
        <v>349</v>
      </c>
      <c r="H475" t="s">
        <v>58</v>
      </c>
      <c r="I475" s="7">
        <v>35334</v>
      </c>
      <c r="J475" t="s">
        <v>24</v>
      </c>
      <c r="K475" s="12">
        <v>15</v>
      </c>
      <c r="L475" t="s">
        <v>2</v>
      </c>
      <c r="M475" s="12">
        <v>217715.63</v>
      </c>
      <c r="N475" t="s">
        <v>1</v>
      </c>
      <c r="O475" s="12">
        <v>14514.38</v>
      </c>
      <c r="P475" s="12">
        <v>41934.879999999997</v>
      </c>
      <c r="Q475" s="12">
        <v>2795.66</v>
      </c>
    </row>
    <row r="476" spans="1:17" x14ac:dyDescent="0.2">
      <c r="A476" t="s">
        <v>29</v>
      </c>
      <c r="B476" t="s">
        <v>30</v>
      </c>
      <c r="C476" s="5">
        <v>51056850.359999999</v>
      </c>
      <c r="D476" s="2">
        <v>44950</v>
      </c>
      <c r="E476" s="5">
        <f t="shared" si="10"/>
        <v>107219385.756</v>
      </c>
      <c r="F476" s="2">
        <v>44951</v>
      </c>
      <c r="G476" s="3" t="s">
        <v>503</v>
      </c>
      <c r="H476" t="s">
        <v>202</v>
      </c>
      <c r="I476" s="7">
        <v>35334</v>
      </c>
      <c r="J476" t="s">
        <v>24</v>
      </c>
      <c r="K476" s="12">
        <v>30</v>
      </c>
      <c r="L476" t="s">
        <v>2</v>
      </c>
      <c r="M476" s="12">
        <v>377373.75</v>
      </c>
      <c r="N476" t="s">
        <v>1</v>
      </c>
      <c r="O476" s="12">
        <v>12579.13</v>
      </c>
      <c r="P476" s="12">
        <v>83262.820000000007</v>
      </c>
      <c r="Q476" s="12">
        <v>2775.43</v>
      </c>
    </row>
    <row r="477" spans="1:17" x14ac:dyDescent="0.2">
      <c r="A477" t="s">
        <v>29</v>
      </c>
      <c r="B477" t="s">
        <v>30</v>
      </c>
      <c r="C477" s="5">
        <v>51056850.390000001</v>
      </c>
      <c r="D477" s="2">
        <v>44945</v>
      </c>
      <c r="E477" s="5">
        <f t="shared" si="10"/>
        <v>107219385.81900001</v>
      </c>
      <c r="F477" s="2">
        <v>44951</v>
      </c>
      <c r="G477" s="3" t="s">
        <v>386</v>
      </c>
      <c r="H477" t="s">
        <v>95</v>
      </c>
      <c r="I477" s="7">
        <v>35335</v>
      </c>
      <c r="J477" t="s">
        <v>25</v>
      </c>
      <c r="K477" s="12">
        <v>18</v>
      </c>
      <c r="L477" t="s">
        <v>2</v>
      </c>
      <c r="M477" s="12">
        <v>254287.5</v>
      </c>
      <c r="N477" t="s">
        <v>1</v>
      </c>
      <c r="O477" s="12">
        <v>14127.08</v>
      </c>
      <c r="P477" s="12">
        <v>48977.72</v>
      </c>
      <c r="Q477" s="12">
        <v>2720.98</v>
      </c>
    </row>
    <row r="478" spans="1:17" x14ac:dyDescent="0.2">
      <c r="A478" t="s">
        <v>29</v>
      </c>
      <c r="B478" t="s">
        <v>30</v>
      </c>
      <c r="C478" s="5">
        <v>51056850.530000001</v>
      </c>
      <c r="D478" s="2">
        <v>44945</v>
      </c>
      <c r="E478" s="5">
        <f t="shared" si="10"/>
        <v>107219386.11300001</v>
      </c>
      <c r="F478" s="2">
        <v>44951</v>
      </c>
      <c r="G478" s="3" t="s">
        <v>349</v>
      </c>
      <c r="H478" t="s">
        <v>58</v>
      </c>
      <c r="I478" s="7">
        <v>35334</v>
      </c>
      <c r="J478" t="s">
        <v>24</v>
      </c>
      <c r="K478" s="12">
        <v>14.1</v>
      </c>
      <c r="L478" t="s">
        <v>2</v>
      </c>
      <c r="M478" s="12">
        <v>204652.69</v>
      </c>
      <c r="N478" t="s">
        <v>1</v>
      </c>
      <c r="O478" s="12">
        <v>14514.38</v>
      </c>
      <c r="P478" s="12">
        <v>39418.82</v>
      </c>
      <c r="Q478" s="12">
        <v>2795.66</v>
      </c>
    </row>
    <row r="479" spans="1:17" x14ac:dyDescent="0.2">
      <c r="A479" t="s">
        <v>29</v>
      </c>
      <c r="B479" t="s">
        <v>30</v>
      </c>
      <c r="C479" s="5">
        <v>51056851.310000002</v>
      </c>
      <c r="D479" s="2">
        <v>44951</v>
      </c>
      <c r="E479" s="5">
        <f t="shared" si="10"/>
        <v>107219387.75100002</v>
      </c>
      <c r="F479" s="2">
        <v>44951</v>
      </c>
      <c r="G479" s="3" t="s">
        <v>448</v>
      </c>
      <c r="H479" t="s">
        <v>152</v>
      </c>
      <c r="I479" s="7">
        <v>49689</v>
      </c>
      <c r="J479" t="s">
        <v>20</v>
      </c>
      <c r="K479" s="12">
        <v>2100</v>
      </c>
      <c r="L479" t="s">
        <v>0</v>
      </c>
      <c r="M479" s="12">
        <v>32421.73</v>
      </c>
      <c r="N479" t="s">
        <v>1</v>
      </c>
      <c r="O479" s="12">
        <v>15.44</v>
      </c>
      <c r="P479" s="12">
        <v>6271.98</v>
      </c>
      <c r="Q479" s="12">
        <v>2.99</v>
      </c>
    </row>
    <row r="480" spans="1:17" x14ac:dyDescent="0.2">
      <c r="A480" t="s">
        <v>29</v>
      </c>
      <c r="B480" t="s">
        <v>30</v>
      </c>
      <c r="C480" s="5">
        <v>51056853.050000004</v>
      </c>
      <c r="D480" s="2">
        <v>44950</v>
      </c>
      <c r="E480" s="5">
        <f t="shared" si="10"/>
        <v>107219391.40500002</v>
      </c>
      <c r="F480" s="2">
        <v>44951</v>
      </c>
      <c r="G480" s="3" t="s">
        <v>326</v>
      </c>
      <c r="H480" t="s">
        <v>36</v>
      </c>
      <c r="I480" s="7">
        <v>35333</v>
      </c>
      <c r="J480" t="s">
        <v>22</v>
      </c>
      <c r="K480" s="12">
        <v>3</v>
      </c>
      <c r="L480" t="s">
        <v>2</v>
      </c>
      <c r="M480" s="12">
        <v>42091.69</v>
      </c>
      <c r="N480" t="s">
        <v>1</v>
      </c>
      <c r="O480" s="12">
        <v>14030.56</v>
      </c>
      <c r="P480" s="12">
        <v>8142.63</v>
      </c>
      <c r="Q480" s="12">
        <v>2714.21</v>
      </c>
    </row>
    <row r="481" spans="1:17" x14ac:dyDescent="0.2">
      <c r="A481" t="s">
        <v>29</v>
      </c>
      <c r="B481" t="s">
        <v>30</v>
      </c>
      <c r="C481" s="5">
        <v>51056853.75</v>
      </c>
      <c r="D481" s="2">
        <v>44949</v>
      </c>
      <c r="E481" s="5">
        <f t="shared" si="10"/>
        <v>107219392.875</v>
      </c>
      <c r="F481" s="2">
        <v>44951</v>
      </c>
      <c r="G481" s="3" t="s">
        <v>420</v>
      </c>
      <c r="H481" t="s">
        <v>125</v>
      </c>
      <c r="I481" s="7">
        <v>49689</v>
      </c>
      <c r="J481" t="s">
        <v>20</v>
      </c>
      <c r="K481" s="12">
        <v>6000</v>
      </c>
      <c r="L481" t="s">
        <v>0</v>
      </c>
      <c r="M481" s="12">
        <v>104853</v>
      </c>
      <c r="N481" t="s">
        <v>1</v>
      </c>
      <c r="O481" s="12">
        <v>17.48</v>
      </c>
      <c r="P481" s="12">
        <v>20288.98</v>
      </c>
      <c r="Q481" s="12">
        <v>3.38</v>
      </c>
    </row>
    <row r="482" spans="1:17" x14ac:dyDescent="0.2">
      <c r="A482" t="s">
        <v>29</v>
      </c>
      <c r="B482" t="s">
        <v>30</v>
      </c>
      <c r="C482" s="5">
        <v>51056853.969999999</v>
      </c>
      <c r="D482" s="2">
        <v>44950</v>
      </c>
      <c r="E482" s="5">
        <f t="shared" si="10"/>
        <v>107219393.337</v>
      </c>
      <c r="F482" s="2">
        <v>44951</v>
      </c>
      <c r="G482" s="3" t="s">
        <v>480</v>
      </c>
      <c r="H482" t="s">
        <v>182</v>
      </c>
      <c r="I482" s="7">
        <v>35333</v>
      </c>
      <c r="J482" t="s">
        <v>22</v>
      </c>
      <c r="K482" s="12">
        <v>2.17</v>
      </c>
      <c r="L482" t="s">
        <v>2</v>
      </c>
      <c r="M482" s="12">
        <v>30026.38</v>
      </c>
      <c r="N482" t="s">
        <v>1</v>
      </c>
      <c r="O482" s="12">
        <v>13837.04</v>
      </c>
      <c r="P482" s="12">
        <v>5808.6</v>
      </c>
      <c r="Q482" s="12">
        <v>2676.77</v>
      </c>
    </row>
    <row r="483" spans="1:17" x14ac:dyDescent="0.2">
      <c r="A483" t="s">
        <v>29</v>
      </c>
      <c r="B483" t="s">
        <v>30</v>
      </c>
      <c r="C483" s="5">
        <v>51056854.410000004</v>
      </c>
      <c r="D483" s="2">
        <v>44946</v>
      </c>
      <c r="E483" s="5">
        <f t="shared" si="10"/>
        <v>107219394.26100001</v>
      </c>
      <c r="F483" s="2">
        <v>44951</v>
      </c>
      <c r="G483" s="3" t="s">
        <v>539</v>
      </c>
      <c r="H483" t="s">
        <v>232</v>
      </c>
      <c r="I483" s="7">
        <v>49689</v>
      </c>
      <c r="J483" t="s">
        <v>20</v>
      </c>
      <c r="K483" s="12">
        <v>4222</v>
      </c>
      <c r="L483" t="s">
        <v>0</v>
      </c>
      <c r="M483" s="12">
        <v>74221.36</v>
      </c>
      <c r="N483" t="s">
        <v>1</v>
      </c>
      <c r="O483" s="12">
        <v>17.579999999999998</v>
      </c>
      <c r="P483" s="12">
        <v>14358.11</v>
      </c>
      <c r="Q483" s="12">
        <v>3.4</v>
      </c>
    </row>
    <row r="484" spans="1:17" x14ac:dyDescent="0.2">
      <c r="A484" t="s">
        <v>29</v>
      </c>
      <c r="B484" t="s">
        <v>30</v>
      </c>
      <c r="C484" s="5">
        <v>51056854.899999999</v>
      </c>
      <c r="D484" s="2">
        <v>44938</v>
      </c>
      <c r="E484" s="5">
        <f t="shared" si="10"/>
        <v>107219395.29000001</v>
      </c>
      <c r="F484" s="2">
        <v>44951</v>
      </c>
      <c r="G484" s="3" t="s">
        <v>540</v>
      </c>
      <c r="H484" t="s">
        <v>233</v>
      </c>
      <c r="I484" s="7">
        <v>49731</v>
      </c>
      <c r="J484" t="s">
        <v>23</v>
      </c>
      <c r="K484" s="12">
        <v>4200</v>
      </c>
      <c r="L484" t="s">
        <v>0</v>
      </c>
      <c r="M484" s="12">
        <v>78633.8</v>
      </c>
      <c r="N484" t="s">
        <v>1</v>
      </c>
      <c r="O484" s="12">
        <v>18.72</v>
      </c>
      <c r="P484" s="12">
        <v>15211.69</v>
      </c>
      <c r="Q484" s="12">
        <v>3.62</v>
      </c>
    </row>
    <row r="485" spans="1:17" x14ac:dyDescent="0.2">
      <c r="A485" t="s">
        <v>29</v>
      </c>
      <c r="B485" t="s">
        <v>30</v>
      </c>
      <c r="C485" s="5">
        <v>51056855.18</v>
      </c>
      <c r="D485" s="2">
        <v>44949</v>
      </c>
      <c r="E485" s="5">
        <f t="shared" si="10"/>
        <v>107219395.87800001</v>
      </c>
      <c r="F485" s="2">
        <v>44951</v>
      </c>
      <c r="G485" s="3" t="s">
        <v>355</v>
      </c>
      <c r="H485" t="s">
        <v>64</v>
      </c>
      <c r="I485" s="7">
        <v>49689</v>
      </c>
      <c r="J485" t="s">
        <v>20</v>
      </c>
      <c r="K485" s="12">
        <v>8400</v>
      </c>
      <c r="L485" t="s">
        <v>0</v>
      </c>
      <c r="M485" s="12">
        <v>148741.6</v>
      </c>
      <c r="N485" t="s">
        <v>1</v>
      </c>
      <c r="O485" s="12">
        <v>17.71</v>
      </c>
      <c r="P485" s="12">
        <v>28774.03</v>
      </c>
      <c r="Q485" s="12">
        <v>3.43</v>
      </c>
    </row>
    <row r="486" spans="1:17" x14ac:dyDescent="0.2">
      <c r="A486" t="s">
        <v>29</v>
      </c>
      <c r="B486" t="s">
        <v>30</v>
      </c>
      <c r="C486" s="5">
        <v>51056855.75</v>
      </c>
      <c r="D486" s="2">
        <v>44949</v>
      </c>
      <c r="E486" s="5">
        <f t="shared" si="10"/>
        <v>107219397.075</v>
      </c>
      <c r="F486" s="2">
        <v>44951</v>
      </c>
      <c r="G486" s="3" t="s">
        <v>423</v>
      </c>
      <c r="H486" t="s">
        <v>128</v>
      </c>
      <c r="I486" s="7">
        <v>49689</v>
      </c>
      <c r="J486" t="s">
        <v>20</v>
      </c>
      <c r="K486" s="12">
        <v>21000</v>
      </c>
      <c r="L486" t="s">
        <v>0</v>
      </c>
      <c r="M486" s="12">
        <v>329000</v>
      </c>
      <c r="N486" t="s">
        <v>1</v>
      </c>
      <c r="O486" s="12">
        <v>15.67</v>
      </c>
      <c r="P486" s="12">
        <v>63644.98</v>
      </c>
      <c r="Q486" s="12">
        <v>3.03</v>
      </c>
    </row>
    <row r="487" spans="1:17" x14ac:dyDescent="0.2">
      <c r="A487" t="s">
        <v>29</v>
      </c>
      <c r="B487" t="s">
        <v>30</v>
      </c>
      <c r="C487" s="5">
        <v>51056855.910000004</v>
      </c>
      <c r="D487" s="2">
        <v>44949</v>
      </c>
      <c r="E487" s="5">
        <f t="shared" si="10"/>
        <v>107219397.41100001</v>
      </c>
      <c r="F487" s="2">
        <v>44951</v>
      </c>
      <c r="G487" s="3" t="s">
        <v>456</v>
      </c>
      <c r="H487" t="s">
        <v>160</v>
      </c>
      <c r="I487" s="7">
        <v>49689</v>
      </c>
      <c r="J487" t="s">
        <v>20</v>
      </c>
      <c r="K487" s="12">
        <v>6000</v>
      </c>
      <c r="L487" t="s">
        <v>0</v>
      </c>
      <c r="M487" s="12">
        <v>98000</v>
      </c>
      <c r="N487" t="s">
        <v>1</v>
      </c>
      <c r="O487" s="12">
        <v>16.329999999999998</v>
      </c>
      <c r="P487" s="12">
        <v>18958.080000000002</v>
      </c>
      <c r="Q487" s="12">
        <v>3.16</v>
      </c>
    </row>
    <row r="488" spans="1:17" x14ac:dyDescent="0.2">
      <c r="A488" t="s">
        <v>29</v>
      </c>
      <c r="B488" t="s">
        <v>30</v>
      </c>
      <c r="C488" s="5">
        <v>51056855.969999999</v>
      </c>
      <c r="D488" s="2">
        <v>44950</v>
      </c>
      <c r="E488" s="5">
        <f t="shared" si="10"/>
        <v>107219397.537</v>
      </c>
      <c r="F488" s="2">
        <v>44951</v>
      </c>
      <c r="G488" s="3" t="s">
        <v>338</v>
      </c>
      <c r="H488" t="s">
        <v>48</v>
      </c>
      <c r="I488" s="7">
        <v>35333</v>
      </c>
      <c r="J488" t="s">
        <v>22</v>
      </c>
      <c r="K488" s="12">
        <v>4.4470000000000001</v>
      </c>
      <c r="L488" t="s">
        <v>2</v>
      </c>
      <c r="M488" s="12">
        <v>61963.61</v>
      </c>
      <c r="N488" t="s">
        <v>1</v>
      </c>
      <c r="O488" s="12">
        <v>13933.8</v>
      </c>
      <c r="P488" s="12">
        <v>11986.84</v>
      </c>
      <c r="Q488" s="12">
        <v>2695.49</v>
      </c>
    </row>
    <row r="489" spans="1:17" x14ac:dyDescent="0.2">
      <c r="A489" t="s">
        <v>29</v>
      </c>
      <c r="B489" t="s">
        <v>30</v>
      </c>
      <c r="C489" s="5">
        <v>51056856.340000004</v>
      </c>
      <c r="D489" s="2">
        <v>44949</v>
      </c>
      <c r="E489" s="5">
        <f t="shared" si="10"/>
        <v>107219398.31400001</v>
      </c>
      <c r="F489" s="2">
        <v>44951</v>
      </c>
      <c r="G489" s="3" t="s">
        <v>541</v>
      </c>
      <c r="H489" t="s">
        <v>234</v>
      </c>
      <c r="I489" s="7">
        <v>49689</v>
      </c>
      <c r="J489" t="s">
        <v>20</v>
      </c>
      <c r="K489" s="12">
        <v>9679</v>
      </c>
      <c r="L489" t="s">
        <v>0</v>
      </c>
      <c r="M489" s="12">
        <v>161971.29</v>
      </c>
      <c r="N489" t="s">
        <v>1</v>
      </c>
      <c r="O489" s="12">
        <v>16.73</v>
      </c>
      <c r="P489" s="12">
        <v>31333.31</v>
      </c>
      <c r="Q489" s="12">
        <v>3.24</v>
      </c>
    </row>
    <row r="490" spans="1:17" x14ac:dyDescent="0.2">
      <c r="A490" t="s">
        <v>29</v>
      </c>
      <c r="B490" t="s">
        <v>30</v>
      </c>
      <c r="C490" s="5">
        <v>51056856.620000005</v>
      </c>
      <c r="D490" s="2">
        <v>44949</v>
      </c>
      <c r="E490" s="5">
        <f t="shared" si="10"/>
        <v>107219398.90200001</v>
      </c>
      <c r="F490" s="2">
        <v>44951</v>
      </c>
      <c r="G490" s="3" t="s">
        <v>542</v>
      </c>
      <c r="H490" t="s">
        <v>235</v>
      </c>
      <c r="I490" s="7">
        <v>49689</v>
      </c>
      <c r="J490" t="s">
        <v>20</v>
      </c>
      <c r="K490" s="12">
        <v>2547</v>
      </c>
      <c r="L490" t="s">
        <v>0</v>
      </c>
      <c r="M490" s="12">
        <v>42084.34</v>
      </c>
      <c r="N490" t="s">
        <v>1</v>
      </c>
      <c r="O490" s="12">
        <v>16.52</v>
      </c>
      <c r="P490" s="12">
        <v>8141.21</v>
      </c>
      <c r="Q490" s="12">
        <v>3.2</v>
      </c>
    </row>
    <row r="491" spans="1:17" x14ac:dyDescent="0.2">
      <c r="A491" t="s">
        <v>29</v>
      </c>
      <c r="B491" t="s">
        <v>30</v>
      </c>
      <c r="C491" s="5">
        <v>51056858.630000003</v>
      </c>
      <c r="D491" s="2">
        <v>44950</v>
      </c>
      <c r="E491" s="5">
        <f t="shared" ref="E491:E554" si="11">C491*2.1</f>
        <v>107219403.12300001</v>
      </c>
      <c r="F491" s="2">
        <v>44951</v>
      </c>
      <c r="G491" s="3" t="s">
        <v>472</v>
      </c>
      <c r="H491" t="s">
        <v>175</v>
      </c>
      <c r="I491" s="7">
        <v>49689</v>
      </c>
      <c r="J491" t="s">
        <v>20</v>
      </c>
      <c r="K491" s="12">
        <v>6060</v>
      </c>
      <c r="L491" t="s">
        <v>0</v>
      </c>
      <c r="M491" s="12">
        <v>107791.24</v>
      </c>
      <c r="N491" t="s">
        <v>1</v>
      </c>
      <c r="O491" s="12">
        <v>17.79</v>
      </c>
      <c r="P491" s="12">
        <v>20852.189999999999</v>
      </c>
      <c r="Q491" s="12">
        <v>3.44</v>
      </c>
    </row>
    <row r="492" spans="1:17" x14ac:dyDescent="0.2">
      <c r="A492" t="s">
        <v>29</v>
      </c>
      <c r="B492" t="s">
        <v>30</v>
      </c>
      <c r="C492" s="5">
        <v>51056859.469999999</v>
      </c>
      <c r="D492" s="2">
        <v>44943</v>
      </c>
      <c r="E492" s="5">
        <f t="shared" si="11"/>
        <v>107219404.88700001</v>
      </c>
      <c r="F492" s="2">
        <v>44951</v>
      </c>
      <c r="G492" s="3" t="s">
        <v>543</v>
      </c>
      <c r="H492" t="s">
        <v>236</v>
      </c>
      <c r="I492" s="7">
        <v>49689</v>
      </c>
      <c r="J492" t="s">
        <v>20</v>
      </c>
      <c r="K492" s="12">
        <v>2280</v>
      </c>
      <c r="L492" t="s">
        <v>0</v>
      </c>
      <c r="M492" s="12">
        <v>31116.68</v>
      </c>
      <c r="N492" t="s">
        <v>1</v>
      </c>
      <c r="O492" s="12">
        <v>13.65</v>
      </c>
      <c r="P492" s="12">
        <v>6019.52</v>
      </c>
      <c r="Q492" s="12">
        <v>2.64</v>
      </c>
    </row>
    <row r="493" spans="1:17" x14ac:dyDescent="0.2">
      <c r="A493" t="s">
        <v>29</v>
      </c>
      <c r="B493" t="s">
        <v>30</v>
      </c>
      <c r="C493" s="5">
        <v>51056862.609999999</v>
      </c>
      <c r="D493" s="2">
        <v>44951</v>
      </c>
      <c r="E493" s="5">
        <f t="shared" si="11"/>
        <v>107219411.48100001</v>
      </c>
      <c r="F493" s="2">
        <v>44951</v>
      </c>
      <c r="G493" s="3" t="s">
        <v>519</v>
      </c>
      <c r="H493" t="s">
        <v>215</v>
      </c>
      <c r="I493" s="7">
        <v>49689</v>
      </c>
      <c r="J493" t="s">
        <v>20</v>
      </c>
      <c r="K493" s="12">
        <v>14400</v>
      </c>
      <c r="L493" t="s">
        <v>0</v>
      </c>
      <c r="M493" s="12">
        <v>256800</v>
      </c>
      <c r="N493" t="s">
        <v>1</v>
      </c>
      <c r="O493" s="12">
        <v>17.829999999999998</v>
      </c>
      <c r="P493" s="12">
        <v>49677.91</v>
      </c>
      <c r="Q493" s="12">
        <v>3.45</v>
      </c>
    </row>
    <row r="494" spans="1:17" x14ac:dyDescent="0.2">
      <c r="A494" t="s">
        <v>29</v>
      </c>
      <c r="B494" t="s">
        <v>30</v>
      </c>
      <c r="C494" s="5">
        <v>51056862.68</v>
      </c>
      <c r="D494" s="2">
        <v>44943</v>
      </c>
      <c r="E494" s="5">
        <f t="shared" si="11"/>
        <v>107219411.62800001</v>
      </c>
      <c r="F494" s="2">
        <v>44951</v>
      </c>
      <c r="G494" s="3" t="s">
        <v>544</v>
      </c>
      <c r="H494" t="s">
        <v>237</v>
      </c>
      <c r="I494" s="7">
        <v>49689</v>
      </c>
      <c r="J494" t="s">
        <v>20</v>
      </c>
      <c r="K494" s="12">
        <v>15000</v>
      </c>
      <c r="L494" t="s">
        <v>0</v>
      </c>
      <c r="M494" s="12">
        <v>237500</v>
      </c>
      <c r="N494" t="s">
        <v>1</v>
      </c>
      <c r="O494" s="12">
        <v>15.83</v>
      </c>
      <c r="P494" s="12">
        <v>45944.33</v>
      </c>
      <c r="Q494" s="12">
        <v>3.06</v>
      </c>
    </row>
    <row r="495" spans="1:17" x14ac:dyDescent="0.2">
      <c r="A495" t="s">
        <v>29</v>
      </c>
      <c r="B495" t="s">
        <v>30</v>
      </c>
      <c r="C495" s="5">
        <v>51056863.759999998</v>
      </c>
      <c r="D495" s="2">
        <v>44943</v>
      </c>
      <c r="E495" s="5">
        <f t="shared" si="11"/>
        <v>107219413.896</v>
      </c>
      <c r="F495" s="2">
        <v>44951</v>
      </c>
      <c r="G495" s="3" t="s">
        <v>544</v>
      </c>
      <c r="H495" t="s">
        <v>237</v>
      </c>
      <c r="I495" s="7">
        <v>49689</v>
      </c>
      <c r="J495" t="s">
        <v>20</v>
      </c>
      <c r="K495" s="12">
        <v>36000</v>
      </c>
      <c r="L495" t="s">
        <v>0</v>
      </c>
      <c r="M495" s="12">
        <v>591000</v>
      </c>
      <c r="N495" t="s">
        <v>1</v>
      </c>
      <c r="O495" s="12">
        <v>16.420000000000002</v>
      </c>
      <c r="P495" s="12">
        <v>114328.83</v>
      </c>
      <c r="Q495" s="12">
        <v>3.18</v>
      </c>
    </row>
    <row r="496" spans="1:17" x14ac:dyDescent="0.2">
      <c r="A496" t="s">
        <v>29</v>
      </c>
      <c r="B496" t="s">
        <v>30</v>
      </c>
      <c r="C496" s="5">
        <v>51056863.780000001</v>
      </c>
      <c r="D496" s="2">
        <v>44951</v>
      </c>
      <c r="E496" s="5">
        <f t="shared" si="11"/>
        <v>107219413.93800001</v>
      </c>
      <c r="F496" s="2">
        <v>44951</v>
      </c>
      <c r="G496" s="3" t="s">
        <v>545</v>
      </c>
      <c r="H496" t="s">
        <v>238</v>
      </c>
      <c r="I496" s="7">
        <v>35334</v>
      </c>
      <c r="J496" t="s">
        <v>24</v>
      </c>
      <c r="K496" s="12">
        <v>2.3959999999999999</v>
      </c>
      <c r="L496" t="s">
        <v>2</v>
      </c>
      <c r="M496" s="12">
        <v>33736.879999999997</v>
      </c>
      <c r="N496" t="s">
        <v>1</v>
      </c>
      <c r="O496" s="12">
        <v>14080.5</v>
      </c>
      <c r="P496" s="12">
        <v>6526.39</v>
      </c>
      <c r="Q496" s="12">
        <v>2723.87</v>
      </c>
    </row>
    <row r="497" spans="1:17" x14ac:dyDescent="0.2">
      <c r="A497" t="s">
        <v>29</v>
      </c>
      <c r="B497" t="s">
        <v>30</v>
      </c>
      <c r="C497" s="5">
        <v>51056864.109999999</v>
      </c>
      <c r="D497" s="2">
        <v>44943</v>
      </c>
      <c r="E497" s="5">
        <f t="shared" si="11"/>
        <v>107219414.631</v>
      </c>
      <c r="F497" s="2">
        <v>44951</v>
      </c>
      <c r="G497" s="3" t="s">
        <v>544</v>
      </c>
      <c r="H497" t="s">
        <v>237</v>
      </c>
      <c r="I497" s="7">
        <v>49689</v>
      </c>
      <c r="J497" t="s">
        <v>20</v>
      </c>
      <c r="K497" s="12">
        <v>15000</v>
      </c>
      <c r="L497" t="s">
        <v>0</v>
      </c>
      <c r="M497" s="12">
        <v>237500</v>
      </c>
      <c r="N497" t="s">
        <v>1</v>
      </c>
      <c r="O497" s="12">
        <v>15.83</v>
      </c>
      <c r="P497" s="12">
        <v>45944.33</v>
      </c>
      <c r="Q497" s="12">
        <v>3.06</v>
      </c>
    </row>
    <row r="498" spans="1:17" x14ac:dyDescent="0.2">
      <c r="A498" t="s">
        <v>29</v>
      </c>
      <c r="B498" t="s">
        <v>30</v>
      </c>
      <c r="C498" s="5">
        <v>51056864.149999999</v>
      </c>
      <c r="D498" s="2">
        <v>44943</v>
      </c>
      <c r="E498" s="5">
        <f t="shared" si="11"/>
        <v>107219414.715</v>
      </c>
      <c r="F498" s="2">
        <v>44951</v>
      </c>
      <c r="G498" s="3" t="s">
        <v>544</v>
      </c>
      <c r="H498" t="s">
        <v>237</v>
      </c>
      <c r="I498" s="7">
        <v>49689</v>
      </c>
      <c r="J498" t="s">
        <v>20</v>
      </c>
      <c r="K498" s="12">
        <v>15000</v>
      </c>
      <c r="L498" t="s">
        <v>0</v>
      </c>
      <c r="M498" s="12">
        <v>237500</v>
      </c>
      <c r="N498" t="s">
        <v>1</v>
      </c>
      <c r="O498" s="12">
        <v>15.83</v>
      </c>
      <c r="P498" s="12">
        <v>45944.33</v>
      </c>
      <c r="Q498" s="12">
        <v>3.06</v>
      </c>
    </row>
    <row r="499" spans="1:17" x14ac:dyDescent="0.2">
      <c r="A499" t="s">
        <v>29</v>
      </c>
      <c r="B499" t="s">
        <v>30</v>
      </c>
      <c r="C499" s="5">
        <v>51056864.170000002</v>
      </c>
      <c r="D499" s="2">
        <v>44943</v>
      </c>
      <c r="E499" s="5">
        <f t="shared" si="11"/>
        <v>107219414.75700001</v>
      </c>
      <c r="F499" s="2">
        <v>44951</v>
      </c>
      <c r="G499" s="3" t="s">
        <v>544</v>
      </c>
      <c r="H499" t="s">
        <v>237</v>
      </c>
      <c r="I499" s="7">
        <v>49689</v>
      </c>
      <c r="J499" t="s">
        <v>20</v>
      </c>
      <c r="K499" s="12">
        <v>15000</v>
      </c>
      <c r="L499" t="s">
        <v>0</v>
      </c>
      <c r="M499" s="12">
        <v>237500</v>
      </c>
      <c r="N499" t="s">
        <v>1</v>
      </c>
      <c r="O499" s="12">
        <v>15.83</v>
      </c>
      <c r="P499" s="12">
        <v>45944.33</v>
      </c>
      <c r="Q499" s="12">
        <v>3.06</v>
      </c>
    </row>
    <row r="500" spans="1:17" x14ac:dyDescent="0.2">
      <c r="A500" t="s">
        <v>29</v>
      </c>
      <c r="B500" t="s">
        <v>30</v>
      </c>
      <c r="C500" s="5">
        <v>51056865.060000002</v>
      </c>
      <c r="D500" s="2">
        <v>44950</v>
      </c>
      <c r="E500" s="5">
        <f t="shared" si="11"/>
        <v>107219416.62600002</v>
      </c>
      <c r="F500" s="2">
        <v>44951</v>
      </c>
      <c r="G500" s="3" t="s">
        <v>546</v>
      </c>
      <c r="H500" t="s">
        <v>239</v>
      </c>
      <c r="I500" s="7">
        <v>49689</v>
      </c>
      <c r="J500" t="s">
        <v>20</v>
      </c>
      <c r="K500" s="12">
        <v>5650</v>
      </c>
      <c r="L500" t="s">
        <v>0</v>
      </c>
      <c r="M500" s="12">
        <v>127125</v>
      </c>
      <c r="N500" t="s">
        <v>1</v>
      </c>
      <c r="O500" s="12">
        <v>22.5</v>
      </c>
      <c r="P500" s="12">
        <v>24592.3</v>
      </c>
      <c r="Q500" s="12">
        <v>4.3499999999999996</v>
      </c>
    </row>
    <row r="501" spans="1:17" x14ac:dyDescent="0.2">
      <c r="A501" t="s">
        <v>29</v>
      </c>
      <c r="B501" t="s">
        <v>30</v>
      </c>
      <c r="C501" s="5">
        <v>51056866.120000005</v>
      </c>
      <c r="D501" s="2">
        <v>44951</v>
      </c>
      <c r="E501" s="5">
        <f t="shared" si="11"/>
        <v>107219418.85200001</v>
      </c>
      <c r="F501" s="2">
        <v>44951</v>
      </c>
      <c r="G501" s="3" t="s">
        <v>547</v>
      </c>
      <c r="H501" t="s">
        <v>240</v>
      </c>
      <c r="I501" s="7">
        <v>49689</v>
      </c>
      <c r="J501" t="s">
        <v>20</v>
      </c>
      <c r="K501" s="12">
        <v>4160</v>
      </c>
      <c r="L501" t="s">
        <v>0</v>
      </c>
      <c r="M501" s="12">
        <v>70736.639999999999</v>
      </c>
      <c r="N501" t="s">
        <v>1</v>
      </c>
      <c r="O501" s="12">
        <v>17</v>
      </c>
      <c r="P501" s="12">
        <v>13683.99</v>
      </c>
      <c r="Q501" s="12">
        <v>3.29</v>
      </c>
    </row>
    <row r="502" spans="1:17" x14ac:dyDescent="0.2">
      <c r="A502" t="s">
        <v>29</v>
      </c>
      <c r="B502" t="s">
        <v>30</v>
      </c>
      <c r="C502" s="5">
        <v>51056866.160000004</v>
      </c>
      <c r="D502" s="2">
        <v>44949</v>
      </c>
      <c r="E502" s="5">
        <f t="shared" si="11"/>
        <v>107219418.93600002</v>
      </c>
      <c r="F502" s="2">
        <v>44951</v>
      </c>
      <c r="G502" s="3" t="s">
        <v>548</v>
      </c>
      <c r="H502" t="s">
        <v>241</v>
      </c>
      <c r="I502" s="7">
        <v>49689</v>
      </c>
      <c r="J502" t="s">
        <v>20</v>
      </c>
      <c r="K502" s="12">
        <v>7200</v>
      </c>
      <c r="L502" t="s">
        <v>0</v>
      </c>
      <c r="M502" s="12">
        <v>116064.72</v>
      </c>
      <c r="N502" t="s">
        <v>1</v>
      </c>
      <c r="O502" s="12">
        <v>16.12</v>
      </c>
      <c r="P502" s="12">
        <v>22452.560000000001</v>
      </c>
      <c r="Q502" s="12">
        <v>3.12</v>
      </c>
    </row>
    <row r="503" spans="1:17" x14ac:dyDescent="0.2">
      <c r="A503" t="s">
        <v>29</v>
      </c>
      <c r="B503" t="s">
        <v>30</v>
      </c>
      <c r="C503" s="5">
        <v>51056866.780000001</v>
      </c>
      <c r="D503" s="2">
        <v>44951</v>
      </c>
      <c r="E503" s="5">
        <f t="shared" si="11"/>
        <v>107219420.23800001</v>
      </c>
      <c r="F503" s="2">
        <v>44951</v>
      </c>
      <c r="G503" s="3" t="s">
        <v>549</v>
      </c>
      <c r="H503" t="s">
        <v>242</v>
      </c>
      <c r="I503" s="7">
        <v>49689</v>
      </c>
      <c r="J503" t="s">
        <v>20</v>
      </c>
      <c r="K503" s="12">
        <v>3720</v>
      </c>
      <c r="L503" t="s">
        <v>0</v>
      </c>
      <c r="M503" s="12">
        <v>65918.399999999994</v>
      </c>
      <c r="N503" t="s">
        <v>1</v>
      </c>
      <c r="O503" s="12">
        <v>17.72</v>
      </c>
      <c r="P503" s="12">
        <v>12751.9</v>
      </c>
      <c r="Q503" s="12">
        <v>3.43</v>
      </c>
    </row>
    <row r="504" spans="1:17" x14ac:dyDescent="0.2">
      <c r="A504" t="s">
        <v>29</v>
      </c>
      <c r="B504" t="s">
        <v>30</v>
      </c>
      <c r="C504" s="5">
        <v>51056866.800000004</v>
      </c>
      <c r="D504" s="2">
        <v>44951</v>
      </c>
      <c r="E504" s="5">
        <f t="shared" si="11"/>
        <v>107219420.28000002</v>
      </c>
      <c r="F504" s="2">
        <v>44951</v>
      </c>
      <c r="G504" s="3" t="s">
        <v>549</v>
      </c>
      <c r="H504" t="s">
        <v>242</v>
      </c>
      <c r="I504" s="7">
        <v>49689</v>
      </c>
      <c r="J504" t="s">
        <v>20</v>
      </c>
      <c r="K504" s="12">
        <v>2850</v>
      </c>
      <c r="L504" t="s">
        <v>0</v>
      </c>
      <c r="M504" s="12">
        <v>41467.5</v>
      </c>
      <c r="N504" t="s">
        <v>1</v>
      </c>
      <c r="O504" s="12">
        <v>14.55</v>
      </c>
      <c r="P504" s="12">
        <v>8021.88</v>
      </c>
      <c r="Q504" s="12">
        <v>2.81</v>
      </c>
    </row>
    <row r="505" spans="1:17" x14ac:dyDescent="0.2">
      <c r="A505" t="s">
        <v>29</v>
      </c>
      <c r="B505" t="s">
        <v>30</v>
      </c>
      <c r="C505" s="5">
        <v>51056867.420000002</v>
      </c>
      <c r="D505" s="2">
        <v>44950</v>
      </c>
      <c r="E505" s="5">
        <f t="shared" si="11"/>
        <v>107219421.582</v>
      </c>
      <c r="F505" s="2">
        <v>44951</v>
      </c>
      <c r="G505" s="3" t="s">
        <v>550</v>
      </c>
      <c r="H505" t="s">
        <v>64</v>
      </c>
      <c r="I505" s="7">
        <v>49689</v>
      </c>
      <c r="J505" t="s">
        <v>20</v>
      </c>
      <c r="K505" s="12">
        <v>16260</v>
      </c>
      <c r="L505" t="s">
        <v>0</v>
      </c>
      <c r="M505" s="12">
        <v>249515.12</v>
      </c>
      <c r="N505" t="s">
        <v>1</v>
      </c>
      <c r="O505" s="12">
        <v>15.35</v>
      </c>
      <c r="P505" s="12">
        <v>48268.65</v>
      </c>
      <c r="Q505" s="12">
        <v>2.97</v>
      </c>
    </row>
    <row r="506" spans="1:17" x14ac:dyDescent="0.2">
      <c r="A506" t="s">
        <v>29</v>
      </c>
      <c r="B506" t="s">
        <v>30</v>
      </c>
      <c r="C506" s="5">
        <v>51056868.609999999</v>
      </c>
      <c r="D506" s="2">
        <v>44950</v>
      </c>
      <c r="E506" s="5">
        <f t="shared" si="11"/>
        <v>107219424.081</v>
      </c>
      <c r="F506" s="2">
        <v>44951</v>
      </c>
      <c r="G506" s="3" t="s">
        <v>551</v>
      </c>
      <c r="H506" t="s">
        <v>243</v>
      </c>
      <c r="I506" s="7">
        <v>49731</v>
      </c>
      <c r="J506" t="s">
        <v>23</v>
      </c>
      <c r="K506" s="12">
        <v>2480</v>
      </c>
      <c r="L506" t="s">
        <v>0</v>
      </c>
      <c r="M506" s="12">
        <v>43180.52</v>
      </c>
      <c r="N506" t="s">
        <v>1</v>
      </c>
      <c r="O506" s="12">
        <v>17.41</v>
      </c>
      <c r="P506" s="12">
        <v>8353.26</v>
      </c>
      <c r="Q506" s="12">
        <v>3.37</v>
      </c>
    </row>
    <row r="507" spans="1:17" x14ac:dyDescent="0.2">
      <c r="A507" t="s">
        <v>29</v>
      </c>
      <c r="B507" t="s">
        <v>30</v>
      </c>
      <c r="C507" s="5">
        <v>51056868.68</v>
      </c>
      <c r="D507" s="2">
        <v>44945</v>
      </c>
      <c r="E507" s="5">
        <f t="shared" si="11"/>
        <v>107219424.228</v>
      </c>
      <c r="F507" s="2">
        <v>44951</v>
      </c>
      <c r="G507" s="3" t="s">
        <v>552</v>
      </c>
      <c r="H507" t="s">
        <v>244</v>
      </c>
      <c r="I507" s="7">
        <v>49689</v>
      </c>
      <c r="J507" t="s">
        <v>20</v>
      </c>
      <c r="K507" s="12">
        <v>7219.7</v>
      </c>
      <c r="L507" t="s">
        <v>0</v>
      </c>
      <c r="M507" s="12">
        <v>120955.24</v>
      </c>
      <c r="N507" t="s">
        <v>1</v>
      </c>
      <c r="O507" s="12">
        <v>16.75</v>
      </c>
      <c r="P507" s="12">
        <v>23398.77</v>
      </c>
      <c r="Q507" s="12">
        <v>3.24</v>
      </c>
    </row>
    <row r="508" spans="1:17" x14ac:dyDescent="0.2">
      <c r="A508" t="s">
        <v>29</v>
      </c>
      <c r="B508" t="s">
        <v>30</v>
      </c>
      <c r="C508" s="5">
        <v>51056869.68</v>
      </c>
      <c r="D508" s="2">
        <v>44950</v>
      </c>
      <c r="E508" s="5">
        <f t="shared" si="11"/>
        <v>107219426.32800001</v>
      </c>
      <c r="F508" s="2">
        <v>44951</v>
      </c>
      <c r="G508" s="3" t="s">
        <v>326</v>
      </c>
      <c r="H508" t="s">
        <v>36</v>
      </c>
      <c r="I508" s="7">
        <v>35333</v>
      </c>
      <c r="J508" t="s">
        <v>22</v>
      </c>
      <c r="K508" s="12">
        <v>2.379</v>
      </c>
      <c r="L508" t="s">
        <v>2</v>
      </c>
      <c r="M508" s="12">
        <v>33378.71</v>
      </c>
      <c r="N508" t="s">
        <v>1</v>
      </c>
      <c r="O508" s="12">
        <v>14030.56</v>
      </c>
      <c r="P508" s="12">
        <v>6457.1</v>
      </c>
      <c r="Q508" s="12">
        <v>2714.21</v>
      </c>
    </row>
    <row r="509" spans="1:17" x14ac:dyDescent="0.2">
      <c r="A509" t="s">
        <v>29</v>
      </c>
      <c r="B509" t="s">
        <v>30</v>
      </c>
      <c r="C509" s="5">
        <v>51056871.130000003</v>
      </c>
      <c r="D509" s="2">
        <v>44950</v>
      </c>
      <c r="E509" s="5">
        <f t="shared" si="11"/>
        <v>107219429.37300001</v>
      </c>
      <c r="F509" s="2">
        <v>44951</v>
      </c>
      <c r="G509" s="3" t="s">
        <v>553</v>
      </c>
      <c r="H509" t="s">
        <v>245</v>
      </c>
      <c r="I509" s="7">
        <v>49689</v>
      </c>
      <c r="J509" t="s">
        <v>20</v>
      </c>
      <c r="K509" s="12">
        <v>2940</v>
      </c>
      <c r="L509" t="s">
        <v>0</v>
      </c>
      <c r="M509" s="12">
        <v>49000</v>
      </c>
      <c r="N509" t="s">
        <v>1</v>
      </c>
      <c r="O509" s="12">
        <v>16.670000000000002</v>
      </c>
      <c r="P509" s="12">
        <v>9479.0400000000009</v>
      </c>
      <c r="Q509" s="12">
        <v>3.22</v>
      </c>
    </row>
    <row r="510" spans="1:17" x14ac:dyDescent="0.2">
      <c r="A510" t="s">
        <v>29</v>
      </c>
      <c r="B510" t="s">
        <v>30</v>
      </c>
      <c r="C510" s="5">
        <v>51056871.370000005</v>
      </c>
      <c r="D510" s="2">
        <v>44947</v>
      </c>
      <c r="E510" s="5">
        <f t="shared" si="11"/>
        <v>107219429.87700002</v>
      </c>
      <c r="F510" s="2">
        <v>44951</v>
      </c>
      <c r="G510" s="3" t="s">
        <v>410</v>
      </c>
      <c r="H510" t="s">
        <v>115</v>
      </c>
      <c r="I510" s="7">
        <v>35333</v>
      </c>
      <c r="J510" t="s">
        <v>22</v>
      </c>
      <c r="K510" s="12">
        <v>15</v>
      </c>
      <c r="L510" t="s">
        <v>2</v>
      </c>
      <c r="M510" s="12">
        <v>203201.25</v>
      </c>
      <c r="N510" t="s">
        <v>1</v>
      </c>
      <c r="O510" s="12">
        <v>13546.75</v>
      </c>
      <c r="P510" s="12">
        <v>39309.24</v>
      </c>
      <c r="Q510" s="12">
        <v>2620.62</v>
      </c>
    </row>
    <row r="511" spans="1:17" x14ac:dyDescent="0.2">
      <c r="A511" t="s">
        <v>29</v>
      </c>
      <c r="B511" t="s">
        <v>30</v>
      </c>
      <c r="C511" s="5">
        <v>51056871.82</v>
      </c>
      <c r="D511" s="2">
        <v>44928</v>
      </c>
      <c r="E511" s="5">
        <f t="shared" si="11"/>
        <v>107219430.82200001</v>
      </c>
      <c r="F511" s="2">
        <v>44951</v>
      </c>
      <c r="G511" s="3" t="s">
        <v>554</v>
      </c>
      <c r="H511" t="s">
        <v>246</v>
      </c>
      <c r="I511" s="7">
        <v>49689</v>
      </c>
      <c r="J511" t="s">
        <v>20</v>
      </c>
      <c r="K511" s="12">
        <v>36000</v>
      </c>
      <c r="L511" t="s">
        <v>0</v>
      </c>
      <c r="M511" s="12">
        <v>506046</v>
      </c>
      <c r="N511" t="s">
        <v>1</v>
      </c>
      <c r="O511" s="12">
        <v>14.06</v>
      </c>
      <c r="P511" s="12">
        <v>94727.98</v>
      </c>
      <c r="Q511" s="12">
        <v>2.63</v>
      </c>
    </row>
    <row r="512" spans="1:17" x14ac:dyDescent="0.2">
      <c r="A512" t="s">
        <v>29</v>
      </c>
      <c r="B512" t="s">
        <v>30</v>
      </c>
      <c r="C512" s="5">
        <v>51056891.020000003</v>
      </c>
      <c r="D512" s="2">
        <v>44951</v>
      </c>
      <c r="E512" s="5">
        <f t="shared" si="11"/>
        <v>107219471.142</v>
      </c>
      <c r="F512" s="2">
        <v>44952</v>
      </c>
      <c r="G512" s="3" t="s">
        <v>547</v>
      </c>
      <c r="H512" t="s">
        <v>240</v>
      </c>
      <c r="I512" s="7">
        <v>49689</v>
      </c>
      <c r="J512" t="s">
        <v>20</v>
      </c>
      <c r="K512" s="12">
        <v>2180</v>
      </c>
      <c r="L512" t="s">
        <v>0</v>
      </c>
      <c r="M512" s="12">
        <v>37068.720000000001</v>
      </c>
      <c r="N512" t="s">
        <v>1</v>
      </c>
      <c r="O512" s="12">
        <v>17</v>
      </c>
      <c r="P512" s="12">
        <v>7170.94</v>
      </c>
      <c r="Q512" s="12">
        <v>3.29</v>
      </c>
    </row>
    <row r="513" spans="1:17" x14ac:dyDescent="0.2">
      <c r="A513" t="s">
        <v>29</v>
      </c>
      <c r="B513" t="s">
        <v>30</v>
      </c>
      <c r="C513" s="5">
        <v>51056891.060000002</v>
      </c>
      <c r="D513" s="2">
        <v>44950</v>
      </c>
      <c r="E513" s="5">
        <f t="shared" si="11"/>
        <v>107219471.22600001</v>
      </c>
      <c r="F513" s="2">
        <v>44952</v>
      </c>
      <c r="G513" s="3" t="s">
        <v>555</v>
      </c>
      <c r="H513" t="s">
        <v>247</v>
      </c>
      <c r="I513" s="7">
        <v>49689</v>
      </c>
      <c r="J513" t="s">
        <v>20</v>
      </c>
      <c r="K513" s="12">
        <v>6240</v>
      </c>
      <c r="L513" t="s">
        <v>0</v>
      </c>
      <c r="M513" s="12">
        <v>95680</v>
      </c>
      <c r="N513" t="s">
        <v>1</v>
      </c>
      <c r="O513" s="12">
        <v>15.33</v>
      </c>
      <c r="P513" s="12">
        <v>18509.28</v>
      </c>
      <c r="Q513" s="12">
        <v>2.97</v>
      </c>
    </row>
    <row r="514" spans="1:17" x14ac:dyDescent="0.2">
      <c r="A514" t="s">
        <v>29</v>
      </c>
      <c r="B514" t="s">
        <v>30</v>
      </c>
      <c r="C514" s="5">
        <v>51056891.079999998</v>
      </c>
      <c r="D514" s="2">
        <v>44950</v>
      </c>
      <c r="E514" s="5">
        <f t="shared" si="11"/>
        <v>107219471.26800001</v>
      </c>
      <c r="F514" s="2">
        <v>44952</v>
      </c>
      <c r="G514" s="3" t="s">
        <v>556</v>
      </c>
      <c r="H514" t="s">
        <v>248</v>
      </c>
      <c r="I514" s="7">
        <v>49689</v>
      </c>
      <c r="J514" t="s">
        <v>20</v>
      </c>
      <c r="K514" s="12">
        <v>7730</v>
      </c>
      <c r="L514" t="s">
        <v>0</v>
      </c>
      <c r="M514" s="12">
        <v>138380.91</v>
      </c>
      <c r="N514" t="s">
        <v>1</v>
      </c>
      <c r="O514" s="12">
        <v>17.899999999999999</v>
      </c>
      <c r="P514" s="12">
        <v>26769.759999999998</v>
      </c>
      <c r="Q514" s="12">
        <v>3.46</v>
      </c>
    </row>
    <row r="515" spans="1:17" x14ac:dyDescent="0.2">
      <c r="A515" t="s">
        <v>29</v>
      </c>
      <c r="B515" t="s">
        <v>30</v>
      </c>
      <c r="C515" s="5">
        <v>51056891.530000001</v>
      </c>
      <c r="D515" s="2">
        <v>44949</v>
      </c>
      <c r="E515" s="5">
        <f t="shared" si="11"/>
        <v>107219472.21300001</v>
      </c>
      <c r="F515" s="2">
        <v>44952</v>
      </c>
      <c r="G515" s="3" t="s">
        <v>557</v>
      </c>
      <c r="H515" t="s">
        <v>136</v>
      </c>
      <c r="I515" s="7">
        <v>49689</v>
      </c>
      <c r="J515" t="s">
        <v>20</v>
      </c>
      <c r="K515" s="12">
        <v>60000</v>
      </c>
      <c r="L515" t="s">
        <v>0</v>
      </c>
      <c r="M515" s="12">
        <v>1086294</v>
      </c>
      <c r="N515" t="s">
        <v>1</v>
      </c>
      <c r="O515" s="12">
        <v>18.100000000000001</v>
      </c>
      <c r="P515" s="12">
        <v>210143.35</v>
      </c>
      <c r="Q515" s="12">
        <v>3.5</v>
      </c>
    </row>
    <row r="516" spans="1:17" x14ac:dyDescent="0.2">
      <c r="A516" t="s">
        <v>29</v>
      </c>
      <c r="B516" t="s">
        <v>30</v>
      </c>
      <c r="C516" s="5">
        <v>51056892.210000001</v>
      </c>
      <c r="D516" s="2">
        <v>44951</v>
      </c>
      <c r="E516" s="5">
        <f t="shared" si="11"/>
        <v>107219473.641</v>
      </c>
      <c r="F516" s="2">
        <v>44952</v>
      </c>
      <c r="G516" s="3" t="s">
        <v>558</v>
      </c>
      <c r="H516" t="s">
        <v>249</v>
      </c>
      <c r="I516" s="7">
        <v>49689</v>
      </c>
      <c r="J516" t="s">
        <v>20</v>
      </c>
      <c r="K516" s="12">
        <v>14520</v>
      </c>
      <c r="L516" t="s">
        <v>0</v>
      </c>
      <c r="M516" s="12">
        <v>258954.76</v>
      </c>
      <c r="N516" t="s">
        <v>1</v>
      </c>
      <c r="O516" s="12">
        <v>17.829999999999998</v>
      </c>
      <c r="P516" s="12">
        <v>50094.74</v>
      </c>
      <c r="Q516" s="12">
        <v>3.45</v>
      </c>
    </row>
    <row r="517" spans="1:17" x14ac:dyDescent="0.2">
      <c r="A517" t="s">
        <v>29</v>
      </c>
      <c r="B517" t="s">
        <v>30</v>
      </c>
      <c r="C517" s="5">
        <v>51056893.219999999</v>
      </c>
      <c r="D517" s="2">
        <v>44949</v>
      </c>
      <c r="E517" s="5">
        <f t="shared" si="11"/>
        <v>107219475.76200001</v>
      </c>
      <c r="F517" s="2">
        <v>44952</v>
      </c>
      <c r="G517" s="3" t="s">
        <v>559</v>
      </c>
      <c r="H517" t="s">
        <v>250</v>
      </c>
      <c r="I517" s="7">
        <v>49689</v>
      </c>
      <c r="J517" t="s">
        <v>20</v>
      </c>
      <c r="K517" s="12">
        <v>120000</v>
      </c>
      <c r="L517" t="s">
        <v>0</v>
      </c>
      <c r="M517" s="12">
        <v>2172588</v>
      </c>
      <c r="N517" t="s">
        <v>1</v>
      </c>
      <c r="O517" s="12">
        <v>18.100000000000001</v>
      </c>
      <c r="P517" s="12">
        <v>420286.69</v>
      </c>
      <c r="Q517" s="12">
        <v>3.5</v>
      </c>
    </row>
    <row r="518" spans="1:17" x14ac:dyDescent="0.2">
      <c r="A518" t="s">
        <v>29</v>
      </c>
      <c r="B518" t="s">
        <v>30</v>
      </c>
      <c r="C518" s="5">
        <v>51056896.210000001</v>
      </c>
      <c r="D518" s="2">
        <v>44944</v>
      </c>
      <c r="E518" s="5">
        <f t="shared" si="11"/>
        <v>107219482.04100001</v>
      </c>
      <c r="F518" s="2">
        <v>44952</v>
      </c>
      <c r="G518" s="3" t="s">
        <v>444</v>
      </c>
      <c r="H518" t="s">
        <v>148</v>
      </c>
      <c r="I518" s="7">
        <v>49689</v>
      </c>
      <c r="J518" t="s">
        <v>20</v>
      </c>
      <c r="K518" s="12">
        <v>12000</v>
      </c>
      <c r="L518" t="s">
        <v>0</v>
      </c>
      <c r="M518" s="12">
        <v>185000</v>
      </c>
      <c r="N518" t="s">
        <v>1</v>
      </c>
      <c r="O518" s="12">
        <v>15.42</v>
      </c>
      <c r="P518" s="12">
        <v>35788.21</v>
      </c>
      <c r="Q518" s="12">
        <v>2.98</v>
      </c>
    </row>
    <row r="519" spans="1:17" x14ac:dyDescent="0.2">
      <c r="A519" t="s">
        <v>29</v>
      </c>
      <c r="B519" t="s">
        <v>30</v>
      </c>
      <c r="C519" s="5">
        <v>51056896.230000004</v>
      </c>
      <c r="D519" s="2">
        <v>44951</v>
      </c>
      <c r="E519" s="5">
        <f t="shared" si="11"/>
        <v>107219482.08300002</v>
      </c>
      <c r="F519" s="2">
        <v>44952</v>
      </c>
      <c r="G519" s="3" t="s">
        <v>432</v>
      </c>
      <c r="H519" t="s">
        <v>137</v>
      </c>
      <c r="I519" s="7">
        <v>49689</v>
      </c>
      <c r="J519" t="s">
        <v>20</v>
      </c>
      <c r="K519" s="12">
        <v>15000</v>
      </c>
      <c r="L519" t="s">
        <v>0</v>
      </c>
      <c r="M519" s="12">
        <v>262527.5</v>
      </c>
      <c r="N519" t="s">
        <v>1</v>
      </c>
      <c r="O519" s="12">
        <v>17.5</v>
      </c>
      <c r="P519" s="12">
        <v>50785.89</v>
      </c>
      <c r="Q519" s="12">
        <v>3.39</v>
      </c>
    </row>
    <row r="520" spans="1:17" x14ac:dyDescent="0.2">
      <c r="A520" t="s">
        <v>29</v>
      </c>
      <c r="B520" t="s">
        <v>30</v>
      </c>
      <c r="C520" s="5">
        <v>51056896.300000004</v>
      </c>
      <c r="D520" s="2">
        <v>44949</v>
      </c>
      <c r="E520" s="5">
        <f t="shared" si="11"/>
        <v>107219482.23000002</v>
      </c>
      <c r="F520" s="2">
        <v>44952</v>
      </c>
      <c r="G520" s="3" t="s">
        <v>364</v>
      </c>
      <c r="H520" t="s">
        <v>73</v>
      </c>
      <c r="I520" s="7">
        <v>49689</v>
      </c>
      <c r="J520" t="s">
        <v>20</v>
      </c>
      <c r="K520" s="12">
        <v>15300</v>
      </c>
      <c r="L520" t="s">
        <v>0</v>
      </c>
      <c r="M520" s="12">
        <v>262650</v>
      </c>
      <c r="N520" t="s">
        <v>1</v>
      </c>
      <c r="O520" s="12">
        <v>17.170000000000002</v>
      </c>
      <c r="P520" s="12">
        <v>50819.45</v>
      </c>
      <c r="Q520" s="12">
        <v>3.32</v>
      </c>
    </row>
    <row r="521" spans="1:17" x14ac:dyDescent="0.2">
      <c r="A521" t="s">
        <v>29</v>
      </c>
      <c r="B521" t="s">
        <v>30</v>
      </c>
      <c r="C521" s="5">
        <v>51056897.140000001</v>
      </c>
      <c r="D521" s="2">
        <v>44950</v>
      </c>
      <c r="E521" s="5">
        <f t="shared" si="11"/>
        <v>107219483.994</v>
      </c>
      <c r="F521" s="2">
        <v>44952</v>
      </c>
      <c r="G521" s="3" t="s">
        <v>341</v>
      </c>
      <c r="H521" t="s">
        <v>51</v>
      </c>
      <c r="I521" s="7">
        <v>49689</v>
      </c>
      <c r="J521" t="s">
        <v>20</v>
      </c>
      <c r="K521" s="12">
        <v>14580</v>
      </c>
      <c r="L521" t="s">
        <v>0</v>
      </c>
      <c r="M521" s="12">
        <v>213842.43</v>
      </c>
      <c r="N521" t="s">
        <v>1</v>
      </c>
      <c r="O521" s="12">
        <v>14.67</v>
      </c>
      <c r="P521" s="12">
        <v>41376.699999999997</v>
      </c>
      <c r="Q521" s="12">
        <v>2.84</v>
      </c>
    </row>
    <row r="522" spans="1:17" x14ac:dyDescent="0.2">
      <c r="A522" t="s">
        <v>29</v>
      </c>
      <c r="B522" t="s">
        <v>30</v>
      </c>
      <c r="C522" s="5">
        <v>51056897.670000002</v>
      </c>
      <c r="D522" s="2">
        <v>44951</v>
      </c>
      <c r="E522" s="5">
        <f t="shared" si="11"/>
        <v>107219485.10700001</v>
      </c>
      <c r="F522" s="2">
        <v>44952</v>
      </c>
      <c r="G522" s="3" t="s">
        <v>420</v>
      </c>
      <c r="H522" t="s">
        <v>125</v>
      </c>
      <c r="I522" s="7">
        <v>49689</v>
      </c>
      <c r="J522" t="s">
        <v>20</v>
      </c>
      <c r="K522" s="12">
        <v>18000</v>
      </c>
      <c r="L522" t="s">
        <v>0</v>
      </c>
      <c r="M522" s="12">
        <v>313500</v>
      </c>
      <c r="N522" t="s">
        <v>1</v>
      </c>
      <c r="O522" s="12">
        <v>17.420000000000002</v>
      </c>
      <c r="P522" s="12">
        <v>60658.11</v>
      </c>
      <c r="Q522" s="12">
        <v>3.37</v>
      </c>
    </row>
    <row r="523" spans="1:17" x14ac:dyDescent="0.2">
      <c r="A523" t="s">
        <v>29</v>
      </c>
      <c r="B523" t="s">
        <v>30</v>
      </c>
      <c r="C523" s="5">
        <v>51056898.039999999</v>
      </c>
      <c r="D523" s="2">
        <v>44947</v>
      </c>
      <c r="E523" s="5">
        <f t="shared" si="11"/>
        <v>107219485.884</v>
      </c>
      <c r="F523" s="2">
        <v>44952</v>
      </c>
      <c r="G523" s="3" t="s">
        <v>410</v>
      </c>
      <c r="H523" t="s">
        <v>115</v>
      </c>
      <c r="I523" s="7">
        <v>35333</v>
      </c>
      <c r="J523" t="s">
        <v>22</v>
      </c>
      <c r="K523" s="12">
        <v>3.3780000000000001</v>
      </c>
      <c r="L523" t="s">
        <v>2</v>
      </c>
      <c r="M523" s="12">
        <v>45760.92</v>
      </c>
      <c r="N523" t="s">
        <v>1</v>
      </c>
      <c r="O523" s="12">
        <v>13546.75</v>
      </c>
      <c r="P523" s="12">
        <v>8852.44</v>
      </c>
      <c r="Q523" s="12">
        <v>2620.62</v>
      </c>
    </row>
    <row r="524" spans="1:17" x14ac:dyDescent="0.2">
      <c r="A524" t="s">
        <v>29</v>
      </c>
      <c r="B524" t="s">
        <v>30</v>
      </c>
      <c r="C524" s="5">
        <v>51056898.969999999</v>
      </c>
      <c r="D524" s="2">
        <v>44950</v>
      </c>
      <c r="E524" s="5">
        <f t="shared" si="11"/>
        <v>107219487.837</v>
      </c>
      <c r="F524" s="2">
        <v>44952</v>
      </c>
      <c r="G524" s="3" t="s">
        <v>560</v>
      </c>
      <c r="H524" t="s">
        <v>251</v>
      </c>
      <c r="I524" s="7">
        <v>49689</v>
      </c>
      <c r="J524" t="s">
        <v>20</v>
      </c>
      <c r="K524" s="12">
        <v>7500</v>
      </c>
      <c r="L524" t="s">
        <v>0</v>
      </c>
      <c r="M524" s="12">
        <v>131979.75</v>
      </c>
      <c r="N524" t="s">
        <v>1</v>
      </c>
      <c r="O524" s="12">
        <v>17.600000000000001</v>
      </c>
      <c r="P524" s="12">
        <v>25858.61</v>
      </c>
      <c r="Q524" s="12">
        <v>3.45</v>
      </c>
    </row>
    <row r="525" spans="1:17" x14ac:dyDescent="0.2">
      <c r="A525" t="s">
        <v>29</v>
      </c>
      <c r="B525" t="s">
        <v>30</v>
      </c>
      <c r="C525" s="5">
        <v>51056899.840000004</v>
      </c>
      <c r="D525" s="2">
        <v>44951</v>
      </c>
      <c r="E525" s="5">
        <f t="shared" si="11"/>
        <v>107219489.66400002</v>
      </c>
      <c r="F525" s="2">
        <v>44952</v>
      </c>
      <c r="G525" s="3" t="s">
        <v>561</v>
      </c>
      <c r="H525" t="s">
        <v>252</v>
      </c>
      <c r="I525" s="7">
        <v>49689</v>
      </c>
      <c r="J525" t="s">
        <v>20</v>
      </c>
      <c r="K525" s="12">
        <v>3177.6</v>
      </c>
      <c r="L525" t="s">
        <v>0</v>
      </c>
      <c r="M525" s="12">
        <v>55648.25</v>
      </c>
      <c r="N525" t="s">
        <v>1</v>
      </c>
      <c r="O525" s="12">
        <v>17.510000000000002</v>
      </c>
      <c r="P525" s="12">
        <v>10903.08</v>
      </c>
      <c r="Q525" s="12">
        <v>3.43</v>
      </c>
    </row>
    <row r="526" spans="1:17" x14ac:dyDescent="0.2">
      <c r="A526" t="s">
        <v>29</v>
      </c>
      <c r="B526" t="s">
        <v>30</v>
      </c>
      <c r="C526" s="5">
        <v>51056899.920000002</v>
      </c>
      <c r="D526" s="2">
        <v>44951</v>
      </c>
      <c r="E526" s="5">
        <f t="shared" si="11"/>
        <v>107219489.832</v>
      </c>
      <c r="F526" s="2">
        <v>44952</v>
      </c>
      <c r="G526" s="3" t="s">
        <v>562</v>
      </c>
      <c r="H526" t="s">
        <v>253</v>
      </c>
      <c r="I526" s="7">
        <v>49689</v>
      </c>
      <c r="J526" t="s">
        <v>20</v>
      </c>
      <c r="K526" s="12">
        <v>3162.84</v>
      </c>
      <c r="L526" t="s">
        <v>0</v>
      </c>
      <c r="M526" s="12">
        <v>54843.65</v>
      </c>
      <c r="N526" t="s">
        <v>1</v>
      </c>
      <c r="O526" s="12">
        <v>17.34</v>
      </c>
      <c r="P526" s="12">
        <v>10745.44</v>
      </c>
      <c r="Q526" s="12">
        <v>3.4</v>
      </c>
    </row>
    <row r="527" spans="1:17" x14ac:dyDescent="0.2">
      <c r="A527" t="s">
        <v>29</v>
      </c>
      <c r="B527" t="s">
        <v>30</v>
      </c>
      <c r="C527" s="5">
        <v>51056899.960000001</v>
      </c>
      <c r="D527" s="2">
        <v>44951</v>
      </c>
      <c r="E527" s="5">
        <f t="shared" si="11"/>
        <v>107219489.91600001</v>
      </c>
      <c r="F527" s="2">
        <v>44952</v>
      </c>
      <c r="G527" s="3" t="s">
        <v>563</v>
      </c>
      <c r="H527" t="s">
        <v>254</v>
      </c>
      <c r="I527" s="7">
        <v>49689</v>
      </c>
      <c r="J527" t="s">
        <v>20</v>
      </c>
      <c r="K527" s="12">
        <v>4800</v>
      </c>
      <c r="L527" t="s">
        <v>0</v>
      </c>
      <c r="M527" s="12">
        <v>72527.199999999997</v>
      </c>
      <c r="N527" t="s">
        <v>1</v>
      </c>
      <c r="O527" s="12">
        <v>15.11</v>
      </c>
      <c r="P527" s="12">
        <v>14035.02</v>
      </c>
      <c r="Q527" s="12">
        <v>2.92</v>
      </c>
    </row>
    <row r="528" spans="1:17" x14ac:dyDescent="0.2">
      <c r="A528" t="s">
        <v>29</v>
      </c>
      <c r="B528" t="s">
        <v>30</v>
      </c>
      <c r="C528" s="5">
        <v>51056899.969999999</v>
      </c>
      <c r="D528" s="2">
        <v>44950</v>
      </c>
      <c r="E528" s="5">
        <f t="shared" si="11"/>
        <v>107219489.93700001</v>
      </c>
      <c r="F528" s="2">
        <v>44952</v>
      </c>
      <c r="G528" s="3" t="s">
        <v>564</v>
      </c>
      <c r="H528" t="s">
        <v>79</v>
      </c>
      <c r="I528" s="7">
        <v>49689</v>
      </c>
      <c r="J528" t="s">
        <v>20</v>
      </c>
      <c r="K528" s="12">
        <v>2379</v>
      </c>
      <c r="L528" t="s">
        <v>0</v>
      </c>
      <c r="M528" s="12">
        <v>39406.949999999997</v>
      </c>
      <c r="N528" t="s">
        <v>1</v>
      </c>
      <c r="O528" s="12">
        <v>16.559999999999999</v>
      </c>
      <c r="P528" s="12">
        <v>7720.95</v>
      </c>
      <c r="Q528" s="12">
        <v>3.25</v>
      </c>
    </row>
    <row r="529" spans="1:17" x14ac:dyDescent="0.2">
      <c r="A529" t="s">
        <v>29</v>
      </c>
      <c r="B529" t="s">
        <v>30</v>
      </c>
      <c r="C529" s="5">
        <v>51056900.410000004</v>
      </c>
      <c r="D529" s="2">
        <v>44951</v>
      </c>
      <c r="E529" s="5">
        <f t="shared" si="11"/>
        <v>107219490.86100002</v>
      </c>
      <c r="F529" s="2">
        <v>44952</v>
      </c>
      <c r="G529" s="3" t="s">
        <v>519</v>
      </c>
      <c r="H529" t="s">
        <v>215</v>
      </c>
      <c r="I529" s="7">
        <v>49689</v>
      </c>
      <c r="J529" t="s">
        <v>20</v>
      </c>
      <c r="K529" s="12">
        <v>30000</v>
      </c>
      <c r="L529" t="s">
        <v>0</v>
      </c>
      <c r="M529" s="12">
        <v>449385</v>
      </c>
      <c r="N529" t="s">
        <v>1</v>
      </c>
      <c r="O529" s="12">
        <v>14.98</v>
      </c>
      <c r="P529" s="12">
        <v>86936.34</v>
      </c>
      <c r="Q529" s="12">
        <v>2.9</v>
      </c>
    </row>
    <row r="530" spans="1:17" x14ac:dyDescent="0.2">
      <c r="A530" t="s">
        <v>29</v>
      </c>
      <c r="B530" t="s">
        <v>30</v>
      </c>
      <c r="C530" s="5">
        <v>51056900.43</v>
      </c>
      <c r="D530" s="2">
        <v>44950</v>
      </c>
      <c r="E530" s="5">
        <f t="shared" si="11"/>
        <v>107219490.903</v>
      </c>
      <c r="F530" s="2">
        <v>44952</v>
      </c>
      <c r="G530" s="3" t="s">
        <v>565</v>
      </c>
      <c r="H530" t="s">
        <v>111</v>
      </c>
      <c r="I530" s="7">
        <v>49689</v>
      </c>
      <c r="J530" t="s">
        <v>20</v>
      </c>
      <c r="K530" s="12">
        <v>1697</v>
      </c>
      <c r="L530" t="s">
        <v>0</v>
      </c>
      <c r="M530" s="12">
        <v>29370.83</v>
      </c>
      <c r="N530" t="s">
        <v>1</v>
      </c>
      <c r="O530" s="12">
        <v>17.309999999999999</v>
      </c>
      <c r="P530" s="12">
        <v>5754.59</v>
      </c>
      <c r="Q530" s="12">
        <v>3.39</v>
      </c>
    </row>
    <row r="531" spans="1:17" x14ac:dyDescent="0.2">
      <c r="A531" t="s">
        <v>29</v>
      </c>
      <c r="B531" t="s">
        <v>30</v>
      </c>
      <c r="C531" s="5">
        <v>51056900.450000003</v>
      </c>
      <c r="D531" s="2">
        <v>44949</v>
      </c>
      <c r="E531" s="5">
        <f t="shared" si="11"/>
        <v>107219490.94500001</v>
      </c>
      <c r="F531" s="2">
        <v>44952</v>
      </c>
      <c r="G531" s="3" t="s">
        <v>566</v>
      </c>
      <c r="H531" t="s">
        <v>255</v>
      </c>
      <c r="I531" s="7">
        <v>49689</v>
      </c>
      <c r="J531" t="s">
        <v>20</v>
      </c>
      <c r="K531" s="12">
        <v>9470</v>
      </c>
      <c r="L531" t="s">
        <v>0</v>
      </c>
      <c r="M531" s="12">
        <v>164972.14000000001</v>
      </c>
      <c r="N531" t="s">
        <v>1</v>
      </c>
      <c r="O531" s="12">
        <v>17.420000000000002</v>
      </c>
      <c r="P531" s="12">
        <v>32322.76</v>
      </c>
      <c r="Q531" s="12">
        <v>3.41</v>
      </c>
    </row>
    <row r="532" spans="1:17" x14ac:dyDescent="0.2">
      <c r="A532" t="s">
        <v>29</v>
      </c>
      <c r="B532" t="s">
        <v>30</v>
      </c>
      <c r="C532" s="5">
        <v>51056900.460000001</v>
      </c>
      <c r="D532" s="2">
        <v>44951</v>
      </c>
      <c r="E532" s="5">
        <f t="shared" si="11"/>
        <v>107219490.96600001</v>
      </c>
      <c r="F532" s="2">
        <v>44952</v>
      </c>
      <c r="G532" s="3" t="s">
        <v>521</v>
      </c>
      <c r="H532" t="s">
        <v>217</v>
      </c>
      <c r="I532" s="7">
        <v>49689</v>
      </c>
      <c r="J532" t="s">
        <v>20</v>
      </c>
      <c r="K532" s="12">
        <v>3677</v>
      </c>
      <c r="L532" t="s">
        <v>0</v>
      </c>
      <c r="M532" s="12">
        <v>55184.56</v>
      </c>
      <c r="N532" t="s">
        <v>1</v>
      </c>
      <c r="O532" s="12">
        <v>15.01</v>
      </c>
      <c r="P532" s="12">
        <v>10812.23</v>
      </c>
      <c r="Q532" s="12">
        <v>2.94</v>
      </c>
    </row>
    <row r="533" spans="1:17" x14ac:dyDescent="0.2">
      <c r="A533" t="s">
        <v>29</v>
      </c>
      <c r="B533" t="s">
        <v>30</v>
      </c>
      <c r="C533" s="5">
        <v>51056900.480000004</v>
      </c>
      <c r="D533" s="2">
        <v>44949</v>
      </c>
      <c r="E533" s="5">
        <f t="shared" si="11"/>
        <v>107219491.00800002</v>
      </c>
      <c r="F533" s="2">
        <v>44952</v>
      </c>
      <c r="G533" s="3" t="s">
        <v>566</v>
      </c>
      <c r="H533" t="s">
        <v>255</v>
      </c>
      <c r="I533" s="7">
        <v>49689</v>
      </c>
      <c r="J533" t="s">
        <v>20</v>
      </c>
      <c r="K533" s="12">
        <v>7170</v>
      </c>
      <c r="L533" t="s">
        <v>0</v>
      </c>
      <c r="M533" s="12">
        <v>119019.13</v>
      </c>
      <c r="N533" t="s">
        <v>1</v>
      </c>
      <c r="O533" s="12">
        <v>16.600000000000001</v>
      </c>
      <c r="P533" s="12">
        <v>23319.25</v>
      </c>
      <c r="Q533" s="12">
        <v>3.25</v>
      </c>
    </row>
    <row r="534" spans="1:17" x14ac:dyDescent="0.2">
      <c r="A534" t="s">
        <v>29</v>
      </c>
      <c r="B534" t="s">
        <v>30</v>
      </c>
      <c r="C534" s="5">
        <v>51056900.5</v>
      </c>
      <c r="D534" s="2">
        <v>44951</v>
      </c>
      <c r="E534" s="5">
        <f t="shared" si="11"/>
        <v>107219491.05000001</v>
      </c>
      <c r="F534" s="2">
        <v>44952</v>
      </c>
      <c r="G534" s="3" t="s">
        <v>420</v>
      </c>
      <c r="H534" t="s">
        <v>125</v>
      </c>
      <c r="I534" s="7">
        <v>49689</v>
      </c>
      <c r="J534" t="s">
        <v>20</v>
      </c>
      <c r="K534" s="12">
        <v>6000</v>
      </c>
      <c r="L534" t="s">
        <v>0</v>
      </c>
      <c r="M534" s="12">
        <v>103000</v>
      </c>
      <c r="N534" t="s">
        <v>1</v>
      </c>
      <c r="O534" s="12">
        <v>17.170000000000002</v>
      </c>
      <c r="P534" s="12">
        <v>20184.560000000001</v>
      </c>
      <c r="Q534" s="12">
        <v>3.36</v>
      </c>
    </row>
    <row r="535" spans="1:17" x14ac:dyDescent="0.2">
      <c r="A535" t="s">
        <v>29</v>
      </c>
      <c r="B535" t="s">
        <v>30</v>
      </c>
      <c r="C535" s="5">
        <v>51056900.630000003</v>
      </c>
      <c r="D535" s="2">
        <v>44949</v>
      </c>
      <c r="E535" s="5">
        <f t="shared" si="11"/>
        <v>107219491.32300001</v>
      </c>
      <c r="F535" s="2">
        <v>44952</v>
      </c>
      <c r="G535" s="3" t="s">
        <v>567</v>
      </c>
      <c r="H535" t="s">
        <v>256</v>
      </c>
      <c r="I535" s="7">
        <v>49689</v>
      </c>
      <c r="J535" t="s">
        <v>20</v>
      </c>
      <c r="K535" s="12">
        <v>29994</v>
      </c>
      <c r="L535" t="s">
        <v>0</v>
      </c>
      <c r="M535" s="12">
        <v>509898</v>
      </c>
      <c r="N535" t="s">
        <v>1</v>
      </c>
      <c r="O535" s="12">
        <v>17</v>
      </c>
      <c r="P535" s="12">
        <v>99903.6</v>
      </c>
      <c r="Q535" s="12">
        <v>3.33</v>
      </c>
    </row>
    <row r="536" spans="1:17" x14ac:dyDescent="0.2">
      <c r="A536" t="s">
        <v>29</v>
      </c>
      <c r="B536" t="s">
        <v>30</v>
      </c>
      <c r="C536" s="5">
        <v>51056900.640000001</v>
      </c>
      <c r="D536" s="2">
        <v>44950</v>
      </c>
      <c r="E536" s="5">
        <f t="shared" si="11"/>
        <v>107219491.34400001</v>
      </c>
      <c r="F536" s="2">
        <v>44952</v>
      </c>
      <c r="G536" s="3" t="s">
        <v>568</v>
      </c>
      <c r="H536" t="s">
        <v>257</v>
      </c>
      <c r="I536" s="7">
        <v>49731</v>
      </c>
      <c r="J536" t="s">
        <v>23</v>
      </c>
      <c r="K536" s="12">
        <v>32190</v>
      </c>
      <c r="L536" t="s">
        <v>0</v>
      </c>
      <c r="M536" s="12">
        <v>609292.31999999995</v>
      </c>
      <c r="N536" t="s">
        <v>1</v>
      </c>
      <c r="O536" s="12">
        <v>18.93</v>
      </c>
      <c r="P536" s="12">
        <v>119377.79</v>
      </c>
      <c r="Q536" s="12">
        <v>3.71</v>
      </c>
    </row>
    <row r="537" spans="1:17" x14ac:dyDescent="0.2">
      <c r="A537" t="s">
        <v>29</v>
      </c>
      <c r="B537" t="s">
        <v>30</v>
      </c>
      <c r="C537" s="5">
        <v>51056900.810000002</v>
      </c>
      <c r="D537" s="2">
        <v>44951</v>
      </c>
      <c r="E537" s="5">
        <f t="shared" si="11"/>
        <v>107219491.70100001</v>
      </c>
      <c r="F537" s="2">
        <v>44952</v>
      </c>
      <c r="G537" s="3" t="s">
        <v>430</v>
      </c>
      <c r="H537" t="s">
        <v>135</v>
      </c>
      <c r="I537" s="7">
        <v>49689</v>
      </c>
      <c r="J537" t="s">
        <v>20</v>
      </c>
      <c r="K537" s="12">
        <v>18060</v>
      </c>
      <c r="L537" t="s">
        <v>0</v>
      </c>
      <c r="M537" s="12">
        <v>317973.39</v>
      </c>
      <c r="N537" t="s">
        <v>1</v>
      </c>
      <c r="O537" s="12">
        <v>17.61</v>
      </c>
      <c r="P537" s="12">
        <v>62312.4</v>
      </c>
      <c r="Q537" s="12">
        <v>3.45</v>
      </c>
    </row>
    <row r="538" spans="1:17" x14ac:dyDescent="0.2">
      <c r="A538" t="s">
        <v>29</v>
      </c>
      <c r="B538" t="s">
        <v>30</v>
      </c>
      <c r="C538" s="5">
        <v>51056900.829999998</v>
      </c>
      <c r="D538" s="2">
        <v>44950</v>
      </c>
      <c r="E538" s="5">
        <f t="shared" si="11"/>
        <v>107219491.743</v>
      </c>
      <c r="F538" s="2">
        <v>44952</v>
      </c>
      <c r="G538" s="3" t="s">
        <v>569</v>
      </c>
      <c r="H538" t="s">
        <v>258</v>
      </c>
      <c r="I538" s="7">
        <v>49689</v>
      </c>
      <c r="J538" t="s">
        <v>20</v>
      </c>
      <c r="K538" s="12">
        <v>7500</v>
      </c>
      <c r="L538" t="s">
        <v>0</v>
      </c>
      <c r="M538" s="12">
        <v>131979.75</v>
      </c>
      <c r="N538" t="s">
        <v>1</v>
      </c>
      <c r="O538" s="12">
        <v>17.600000000000001</v>
      </c>
      <c r="P538" s="12">
        <v>25858.61</v>
      </c>
      <c r="Q538" s="12">
        <v>3.45</v>
      </c>
    </row>
    <row r="539" spans="1:17" x14ac:dyDescent="0.2">
      <c r="A539" t="s">
        <v>29</v>
      </c>
      <c r="B539" t="s">
        <v>30</v>
      </c>
      <c r="C539" s="5">
        <v>51056902.25</v>
      </c>
      <c r="D539" s="2">
        <v>44949</v>
      </c>
      <c r="E539" s="5">
        <f t="shared" si="11"/>
        <v>107219494.72500001</v>
      </c>
      <c r="F539" s="2">
        <v>44952</v>
      </c>
      <c r="G539" s="3" t="s">
        <v>570</v>
      </c>
      <c r="H539" t="s">
        <v>259</v>
      </c>
      <c r="I539" s="7">
        <v>49689</v>
      </c>
      <c r="J539" t="s">
        <v>20</v>
      </c>
      <c r="K539" s="12">
        <v>6180</v>
      </c>
      <c r="L539" t="s">
        <v>0</v>
      </c>
      <c r="M539" s="12">
        <v>102585.53</v>
      </c>
      <c r="N539" t="s">
        <v>1</v>
      </c>
      <c r="O539" s="12">
        <v>16.600000000000001</v>
      </c>
      <c r="P539" s="12">
        <v>20099.439999999999</v>
      </c>
      <c r="Q539" s="12">
        <v>3.25</v>
      </c>
    </row>
    <row r="540" spans="1:17" x14ac:dyDescent="0.2">
      <c r="A540" t="s">
        <v>29</v>
      </c>
      <c r="B540" t="s">
        <v>30</v>
      </c>
      <c r="C540" s="5">
        <v>51056902.670000002</v>
      </c>
      <c r="D540" s="2">
        <v>44949</v>
      </c>
      <c r="E540" s="5">
        <f t="shared" si="11"/>
        <v>107219495.60700001</v>
      </c>
      <c r="F540" s="2">
        <v>44952</v>
      </c>
      <c r="G540" s="3" t="s">
        <v>571</v>
      </c>
      <c r="H540" t="s">
        <v>117</v>
      </c>
      <c r="I540" s="7">
        <v>49689</v>
      </c>
      <c r="J540" t="s">
        <v>20</v>
      </c>
      <c r="K540" s="12">
        <v>3390</v>
      </c>
      <c r="L540" t="s">
        <v>0</v>
      </c>
      <c r="M540" s="12">
        <v>52951.8</v>
      </c>
      <c r="N540" t="s">
        <v>1</v>
      </c>
      <c r="O540" s="12">
        <v>15.62</v>
      </c>
      <c r="P540" s="12">
        <v>10374.77</v>
      </c>
      <c r="Q540" s="12">
        <v>3.06</v>
      </c>
    </row>
    <row r="541" spans="1:17" x14ac:dyDescent="0.2">
      <c r="A541" t="s">
        <v>29</v>
      </c>
      <c r="B541" t="s">
        <v>30</v>
      </c>
      <c r="C541" s="5">
        <v>51056902.920000002</v>
      </c>
      <c r="D541" s="2">
        <v>44949</v>
      </c>
      <c r="E541" s="5">
        <f t="shared" si="11"/>
        <v>107219496.13200001</v>
      </c>
      <c r="F541" s="2">
        <v>44952</v>
      </c>
      <c r="G541" s="3" t="s">
        <v>570</v>
      </c>
      <c r="H541" t="s">
        <v>259</v>
      </c>
      <c r="I541" s="7">
        <v>49689</v>
      </c>
      <c r="J541" t="s">
        <v>20</v>
      </c>
      <c r="K541" s="12">
        <v>4050</v>
      </c>
      <c r="L541" t="s">
        <v>0</v>
      </c>
      <c r="M541" s="12">
        <v>70553.03</v>
      </c>
      <c r="N541" t="s">
        <v>1</v>
      </c>
      <c r="O541" s="12">
        <v>17.420000000000002</v>
      </c>
      <c r="P541" s="12">
        <v>13823.36</v>
      </c>
      <c r="Q541" s="12">
        <v>3.41</v>
      </c>
    </row>
    <row r="542" spans="1:17" x14ac:dyDescent="0.2">
      <c r="A542" t="s">
        <v>29</v>
      </c>
      <c r="B542" t="s">
        <v>30</v>
      </c>
      <c r="C542" s="5">
        <v>51056903.18</v>
      </c>
      <c r="D542" s="2">
        <v>44950</v>
      </c>
      <c r="E542" s="5">
        <f t="shared" si="11"/>
        <v>107219496.678</v>
      </c>
      <c r="F542" s="2">
        <v>44952</v>
      </c>
      <c r="G542" s="3" t="s">
        <v>572</v>
      </c>
      <c r="H542" t="s">
        <v>260</v>
      </c>
      <c r="I542" s="7">
        <v>49689</v>
      </c>
      <c r="J542" t="s">
        <v>20</v>
      </c>
      <c r="K542" s="12">
        <v>15000</v>
      </c>
      <c r="L542" t="s">
        <v>0</v>
      </c>
      <c r="M542" s="12">
        <v>275000</v>
      </c>
      <c r="N542" t="s">
        <v>1</v>
      </c>
      <c r="O542" s="12">
        <v>18.329999999999998</v>
      </c>
      <c r="P542" s="12">
        <v>53870.57</v>
      </c>
      <c r="Q542" s="12">
        <v>3.59</v>
      </c>
    </row>
    <row r="543" spans="1:17" x14ac:dyDescent="0.2">
      <c r="A543" t="s">
        <v>29</v>
      </c>
      <c r="B543" t="s">
        <v>30</v>
      </c>
      <c r="C543" s="5">
        <v>51056903.189999998</v>
      </c>
      <c r="D543" s="2">
        <v>44945</v>
      </c>
      <c r="E543" s="5">
        <f t="shared" si="11"/>
        <v>107219496.699</v>
      </c>
      <c r="F543" s="2">
        <v>44952</v>
      </c>
      <c r="G543" s="3" t="s">
        <v>573</v>
      </c>
      <c r="H543" t="s">
        <v>261</v>
      </c>
      <c r="I543" s="7">
        <v>49689</v>
      </c>
      <c r="J543" t="s">
        <v>20</v>
      </c>
      <c r="K543" s="12">
        <v>2670</v>
      </c>
      <c r="L543" t="s">
        <v>0</v>
      </c>
      <c r="M543" s="12">
        <v>45870.6</v>
      </c>
      <c r="N543" t="s">
        <v>1</v>
      </c>
      <c r="O543" s="12">
        <v>17.18</v>
      </c>
      <c r="P543" s="12">
        <v>8987.36</v>
      </c>
      <c r="Q543" s="12">
        <v>3.37</v>
      </c>
    </row>
    <row r="544" spans="1:17" x14ac:dyDescent="0.2">
      <c r="A544" t="s">
        <v>29</v>
      </c>
      <c r="B544" t="s">
        <v>30</v>
      </c>
      <c r="C544" s="5">
        <v>51056903.530000001</v>
      </c>
      <c r="D544" s="2">
        <v>44950</v>
      </c>
      <c r="E544" s="5">
        <f t="shared" si="11"/>
        <v>107219497.413</v>
      </c>
      <c r="F544" s="2">
        <v>44952</v>
      </c>
      <c r="G544" s="3" t="s">
        <v>460</v>
      </c>
      <c r="H544" t="s">
        <v>164</v>
      </c>
      <c r="I544" s="7">
        <v>49689</v>
      </c>
      <c r="J544" t="s">
        <v>20</v>
      </c>
      <c r="K544" s="12">
        <v>30000</v>
      </c>
      <c r="L544" t="s">
        <v>0</v>
      </c>
      <c r="M544" s="12">
        <v>527355</v>
      </c>
      <c r="N544" t="s">
        <v>1</v>
      </c>
      <c r="O544" s="12">
        <v>17.579999999999998</v>
      </c>
      <c r="P544" s="12">
        <v>103323.93</v>
      </c>
      <c r="Q544" s="12">
        <v>3.44</v>
      </c>
    </row>
    <row r="545" spans="1:17" x14ac:dyDescent="0.2">
      <c r="A545" t="s">
        <v>29</v>
      </c>
      <c r="B545" t="s">
        <v>30</v>
      </c>
      <c r="C545" s="5">
        <v>51056903.550000004</v>
      </c>
      <c r="D545" s="2">
        <v>44950</v>
      </c>
      <c r="E545" s="5">
        <f t="shared" si="11"/>
        <v>107219497.45500001</v>
      </c>
      <c r="F545" s="2">
        <v>44952</v>
      </c>
      <c r="G545" s="3" t="s">
        <v>460</v>
      </c>
      <c r="H545" t="s">
        <v>164</v>
      </c>
      <c r="I545" s="7">
        <v>49689</v>
      </c>
      <c r="J545" t="s">
        <v>20</v>
      </c>
      <c r="K545" s="12">
        <v>27000</v>
      </c>
      <c r="L545" t="s">
        <v>0</v>
      </c>
      <c r="M545" s="12">
        <v>474619.5</v>
      </c>
      <c r="N545" t="s">
        <v>1</v>
      </c>
      <c r="O545" s="12">
        <v>17.579999999999998</v>
      </c>
      <c r="P545" s="12">
        <v>92991.54</v>
      </c>
      <c r="Q545" s="12">
        <v>3.44</v>
      </c>
    </row>
    <row r="546" spans="1:17" x14ac:dyDescent="0.2">
      <c r="A546" t="s">
        <v>29</v>
      </c>
      <c r="B546" t="s">
        <v>30</v>
      </c>
      <c r="C546" s="5">
        <v>51056904.620000005</v>
      </c>
      <c r="D546" s="2">
        <v>44951</v>
      </c>
      <c r="E546" s="5">
        <f t="shared" si="11"/>
        <v>107219499.70200002</v>
      </c>
      <c r="F546" s="2">
        <v>44952</v>
      </c>
      <c r="G546" s="3" t="s">
        <v>574</v>
      </c>
      <c r="H546" t="s">
        <v>262</v>
      </c>
      <c r="I546" s="7">
        <v>49689</v>
      </c>
      <c r="J546" t="s">
        <v>20</v>
      </c>
      <c r="K546" s="12">
        <v>30000</v>
      </c>
      <c r="L546" t="s">
        <v>0</v>
      </c>
      <c r="M546" s="12">
        <v>532180</v>
      </c>
      <c r="N546" t="s">
        <v>1</v>
      </c>
      <c r="O546" s="12">
        <v>17.739999999999998</v>
      </c>
      <c r="P546" s="12">
        <v>104269.28</v>
      </c>
      <c r="Q546" s="12">
        <v>3.48</v>
      </c>
    </row>
    <row r="547" spans="1:17" x14ac:dyDescent="0.2">
      <c r="A547" t="s">
        <v>29</v>
      </c>
      <c r="B547" t="s">
        <v>30</v>
      </c>
      <c r="C547" s="5">
        <v>51056904.689999998</v>
      </c>
      <c r="D547" s="2">
        <v>44951</v>
      </c>
      <c r="E547" s="5">
        <f t="shared" si="11"/>
        <v>107219499.84900001</v>
      </c>
      <c r="F547" s="2">
        <v>44952</v>
      </c>
      <c r="G547" s="3" t="s">
        <v>574</v>
      </c>
      <c r="H547" t="s">
        <v>262</v>
      </c>
      <c r="I547" s="7">
        <v>49689</v>
      </c>
      <c r="J547" t="s">
        <v>20</v>
      </c>
      <c r="K547" s="12">
        <v>30000</v>
      </c>
      <c r="L547" t="s">
        <v>0</v>
      </c>
      <c r="M547" s="12">
        <v>532180</v>
      </c>
      <c r="N547" t="s">
        <v>1</v>
      </c>
      <c r="O547" s="12">
        <v>17.739999999999998</v>
      </c>
      <c r="P547" s="12">
        <v>104269.28</v>
      </c>
      <c r="Q547" s="12">
        <v>3.48</v>
      </c>
    </row>
    <row r="548" spans="1:17" x14ac:dyDescent="0.2">
      <c r="A548" t="s">
        <v>29</v>
      </c>
      <c r="B548" t="s">
        <v>30</v>
      </c>
      <c r="C548" s="5">
        <v>51056905.109999999</v>
      </c>
      <c r="D548" s="2">
        <v>44951</v>
      </c>
      <c r="E548" s="5">
        <f t="shared" si="11"/>
        <v>107219500.73100001</v>
      </c>
      <c r="F548" s="2">
        <v>44952</v>
      </c>
      <c r="G548" s="3" t="s">
        <v>575</v>
      </c>
      <c r="H548" t="s">
        <v>263</v>
      </c>
      <c r="I548" s="7">
        <v>49689</v>
      </c>
      <c r="J548" t="s">
        <v>20</v>
      </c>
      <c r="K548" s="12">
        <v>15000</v>
      </c>
      <c r="L548" t="s">
        <v>0</v>
      </c>
      <c r="M548" s="12">
        <v>276382.5</v>
      </c>
      <c r="N548" t="s">
        <v>1</v>
      </c>
      <c r="O548" s="12">
        <v>18.43</v>
      </c>
      <c r="P548" s="12">
        <v>54151.24</v>
      </c>
      <c r="Q548" s="12">
        <v>3.61</v>
      </c>
    </row>
    <row r="549" spans="1:17" x14ac:dyDescent="0.2">
      <c r="A549" t="s">
        <v>29</v>
      </c>
      <c r="B549" t="s">
        <v>30</v>
      </c>
      <c r="C549" s="5">
        <v>51056905.140000001</v>
      </c>
      <c r="D549" s="2">
        <v>44951</v>
      </c>
      <c r="E549" s="5">
        <f t="shared" si="11"/>
        <v>107219500.794</v>
      </c>
      <c r="F549" s="2">
        <v>44952</v>
      </c>
      <c r="G549" s="3" t="s">
        <v>575</v>
      </c>
      <c r="H549" t="s">
        <v>263</v>
      </c>
      <c r="I549" s="7">
        <v>49689</v>
      </c>
      <c r="J549" t="s">
        <v>20</v>
      </c>
      <c r="K549" s="12">
        <v>7500</v>
      </c>
      <c r="L549" t="s">
        <v>0</v>
      </c>
      <c r="M549" s="12">
        <v>138191.25</v>
      </c>
      <c r="N549" t="s">
        <v>1</v>
      </c>
      <c r="O549" s="12">
        <v>18.43</v>
      </c>
      <c r="P549" s="12">
        <v>27075.62</v>
      </c>
      <c r="Q549" s="12">
        <v>3.61</v>
      </c>
    </row>
    <row r="550" spans="1:17" x14ac:dyDescent="0.2">
      <c r="A550" t="s">
        <v>29</v>
      </c>
      <c r="B550" t="s">
        <v>30</v>
      </c>
      <c r="C550" s="5">
        <v>51056905.810000002</v>
      </c>
      <c r="D550" s="2">
        <v>44951</v>
      </c>
      <c r="E550" s="5">
        <f t="shared" si="11"/>
        <v>107219502.20100001</v>
      </c>
      <c r="F550" s="2">
        <v>44952</v>
      </c>
      <c r="G550" s="3" t="s">
        <v>576</v>
      </c>
      <c r="H550" t="s">
        <v>264</v>
      </c>
      <c r="I550" s="7">
        <v>49689</v>
      </c>
      <c r="J550" t="s">
        <v>20</v>
      </c>
      <c r="K550" s="12">
        <v>10920</v>
      </c>
      <c r="L550" t="s">
        <v>0</v>
      </c>
      <c r="M550" s="12">
        <v>194740</v>
      </c>
      <c r="N550" t="s">
        <v>1</v>
      </c>
      <c r="O550" s="12">
        <v>17.829999999999998</v>
      </c>
      <c r="P550" s="12">
        <v>38155.14</v>
      </c>
      <c r="Q550" s="12">
        <v>3.49</v>
      </c>
    </row>
    <row r="551" spans="1:17" x14ac:dyDescent="0.2">
      <c r="A551" t="s">
        <v>29</v>
      </c>
      <c r="B551" t="s">
        <v>30</v>
      </c>
      <c r="C551" s="5">
        <v>51056907.230000004</v>
      </c>
      <c r="D551" s="2">
        <v>44951</v>
      </c>
      <c r="E551" s="5">
        <f t="shared" si="11"/>
        <v>107219505.18300001</v>
      </c>
      <c r="F551" s="2">
        <v>44952</v>
      </c>
      <c r="G551" s="3" t="s">
        <v>577</v>
      </c>
      <c r="H551" t="s">
        <v>265</v>
      </c>
      <c r="I551" s="7">
        <v>49689</v>
      </c>
      <c r="J551" t="s">
        <v>20</v>
      </c>
      <c r="K551" s="12">
        <v>6600</v>
      </c>
      <c r="L551" t="s">
        <v>0</v>
      </c>
      <c r="M551" s="12">
        <v>111968.78</v>
      </c>
      <c r="N551" t="s">
        <v>1</v>
      </c>
      <c r="O551" s="12">
        <v>16.96</v>
      </c>
      <c r="P551" s="12">
        <v>21937.89</v>
      </c>
      <c r="Q551" s="12">
        <v>3.32</v>
      </c>
    </row>
    <row r="552" spans="1:17" x14ac:dyDescent="0.2">
      <c r="A552" t="s">
        <v>29</v>
      </c>
      <c r="B552" t="s">
        <v>30</v>
      </c>
      <c r="C552" s="5">
        <v>51056907.25</v>
      </c>
      <c r="D552" s="2">
        <v>44944</v>
      </c>
      <c r="E552" s="5">
        <f t="shared" si="11"/>
        <v>107219505.22500001</v>
      </c>
      <c r="F552" s="2">
        <v>44952</v>
      </c>
      <c r="G552" s="3" t="s">
        <v>420</v>
      </c>
      <c r="H552" t="s">
        <v>125</v>
      </c>
      <c r="I552" s="7">
        <v>49689</v>
      </c>
      <c r="J552" t="s">
        <v>20</v>
      </c>
      <c r="K552" s="12">
        <v>6000</v>
      </c>
      <c r="L552" t="s">
        <v>0</v>
      </c>
      <c r="M552" s="12">
        <v>99380</v>
      </c>
      <c r="N552" t="s">
        <v>1</v>
      </c>
      <c r="O552" s="12">
        <v>16.559999999999999</v>
      </c>
      <c r="P552" s="12">
        <v>19471.38</v>
      </c>
      <c r="Q552" s="12">
        <v>3.25</v>
      </c>
    </row>
    <row r="553" spans="1:17" x14ac:dyDescent="0.2">
      <c r="A553" t="s">
        <v>29</v>
      </c>
      <c r="B553" t="s">
        <v>30</v>
      </c>
      <c r="C553" s="5">
        <v>51056908.240000002</v>
      </c>
      <c r="D553" s="2">
        <v>44951</v>
      </c>
      <c r="E553" s="5">
        <f t="shared" si="11"/>
        <v>107219507.30400001</v>
      </c>
      <c r="F553" s="2">
        <v>44952</v>
      </c>
      <c r="G553" s="3" t="s">
        <v>474</v>
      </c>
      <c r="H553" t="s">
        <v>57</v>
      </c>
      <c r="I553" s="7">
        <v>49689</v>
      </c>
      <c r="J553" t="s">
        <v>20</v>
      </c>
      <c r="K553" s="12">
        <v>2866</v>
      </c>
      <c r="L553" t="s">
        <v>0</v>
      </c>
      <c r="M553" s="12">
        <v>47527.83</v>
      </c>
      <c r="N553" t="s">
        <v>1</v>
      </c>
      <c r="O553" s="12">
        <v>16.579999999999998</v>
      </c>
      <c r="P553" s="12">
        <v>9312.06</v>
      </c>
      <c r="Q553" s="12">
        <v>3.25</v>
      </c>
    </row>
    <row r="554" spans="1:17" x14ac:dyDescent="0.2">
      <c r="A554" t="s">
        <v>29</v>
      </c>
      <c r="B554" t="s">
        <v>30</v>
      </c>
      <c r="C554" s="5">
        <v>51056910.230000004</v>
      </c>
      <c r="D554" s="2">
        <v>44951</v>
      </c>
      <c r="E554" s="5">
        <f t="shared" si="11"/>
        <v>107219511.48300001</v>
      </c>
      <c r="F554" s="2">
        <v>44952</v>
      </c>
      <c r="G554" s="3" t="s">
        <v>578</v>
      </c>
      <c r="H554" t="s">
        <v>266</v>
      </c>
      <c r="I554" s="7">
        <v>49689</v>
      </c>
      <c r="J554" t="s">
        <v>20</v>
      </c>
      <c r="K554" s="12">
        <v>1800</v>
      </c>
      <c r="L554" t="s">
        <v>0</v>
      </c>
      <c r="M554" s="12">
        <v>28337.4</v>
      </c>
      <c r="N554" t="s">
        <v>1</v>
      </c>
      <c r="O554" s="12">
        <v>15.74</v>
      </c>
      <c r="P554" s="12">
        <v>5552.11</v>
      </c>
      <c r="Q554" s="12">
        <v>3.08</v>
      </c>
    </row>
    <row r="555" spans="1:17" x14ac:dyDescent="0.2">
      <c r="A555" t="s">
        <v>29</v>
      </c>
      <c r="B555" t="s">
        <v>30</v>
      </c>
      <c r="C555" s="5">
        <v>51056910.270000003</v>
      </c>
      <c r="D555" s="2">
        <v>44950</v>
      </c>
      <c r="E555" s="5">
        <f t="shared" ref="E555:E618" si="12">C555*2.1</f>
        <v>107219511.56700002</v>
      </c>
      <c r="F555" s="2">
        <v>44952</v>
      </c>
      <c r="G555" s="3" t="s">
        <v>460</v>
      </c>
      <c r="H555" t="s">
        <v>164</v>
      </c>
      <c r="I555" s="7">
        <v>49689</v>
      </c>
      <c r="J555" t="s">
        <v>20</v>
      </c>
      <c r="K555" s="12">
        <v>30300</v>
      </c>
      <c r="L555" t="s">
        <v>0</v>
      </c>
      <c r="M555" s="12">
        <v>532628.55000000005</v>
      </c>
      <c r="N555" t="s">
        <v>1</v>
      </c>
      <c r="O555" s="12">
        <v>17.579999999999998</v>
      </c>
      <c r="P555" s="12">
        <v>104357.17</v>
      </c>
      <c r="Q555" s="12">
        <v>3.44</v>
      </c>
    </row>
    <row r="556" spans="1:17" x14ac:dyDescent="0.2">
      <c r="A556" t="s">
        <v>29</v>
      </c>
      <c r="B556" t="s">
        <v>30</v>
      </c>
      <c r="C556" s="5">
        <v>51056911.450000003</v>
      </c>
      <c r="D556" s="2">
        <v>44951</v>
      </c>
      <c r="E556" s="5">
        <f t="shared" si="12"/>
        <v>107219514.04500002</v>
      </c>
      <c r="F556" s="2">
        <v>44952</v>
      </c>
      <c r="G556" s="3" t="s">
        <v>420</v>
      </c>
      <c r="H556" t="s">
        <v>125</v>
      </c>
      <c r="I556" s="7">
        <v>49689</v>
      </c>
      <c r="J556" t="s">
        <v>20</v>
      </c>
      <c r="K556" s="12">
        <v>3000</v>
      </c>
      <c r="L556" t="s">
        <v>0</v>
      </c>
      <c r="M556" s="12">
        <v>53000</v>
      </c>
      <c r="N556" t="s">
        <v>1</v>
      </c>
      <c r="O556" s="12">
        <v>17.670000000000002</v>
      </c>
      <c r="P556" s="12">
        <v>10384.219999999999</v>
      </c>
      <c r="Q556" s="12">
        <v>3.46</v>
      </c>
    </row>
    <row r="557" spans="1:17" x14ac:dyDescent="0.2">
      <c r="A557" t="s">
        <v>29</v>
      </c>
      <c r="B557" t="s">
        <v>30</v>
      </c>
      <c r="C557" s="5">
        <v>51056911.469999999</v>
      </c>
      <c r="D557" s="2">
        <v>44951</v>
      </c>
      <c r="E557" s="5">
        <f t="shared" si="12"/>
        <v>107219514.087</v>
      </c>
      <c r="F557" s="2">
        <v>44952</v>
      </c>
      <c r="G557" s="3" t="s">
        <v>446</v>
      </c>
      <c r="H557" t="s">
        <v>150</v>
      </c>
      <c r="I557" s="7">
        <v>49689</v>
      </c>
      <c r="J557" t="s">
        <v>20</v>
      </c>
      <c r="K557" s="12">
        <v>3000</v>
      </c>
      <c r="L557" t="s">
        <v>0</v>
      </c>
      <c r="M557" s="12">
        <v>52559</v>
      </c>
      <c r="N557" t="s">
        <v>1</v>
      </c>
      <c r="O557" s="12">
        <v>17.52</v>
      </c>
      <c r="P557" s="12">
        <v>10297.81</v>
      </c>
      <c r="Q557" s="12">
        <v>3.43</v>
      </c>
    </row>
    <row r="558" spans="1:17" x14ac:dyDescent="0.2">
      <c r="A558" t="s">
        <v>29</v>
      </c>
      <c r="B558" t="s">
        <v>30</v>
      </c>
      <c r="C558" s="5">
        <v>51056911.670000002</v>
      </c>
      <c r="D558" s="2">
        <v>44951</v>
      </c>
      <c r="E558" s="5">
        <f t="shared" si="12"/>
        <v>107219514.50700001</v>
      </c>
      <c r="F558" s="2">
        <v>44952</v>
      </c>
      <c r="G558" s="3" t="s">
        <v>579</v>
      </c>
      <c r="H558" t="s">
        <v>267</v>
      </c>
      <c r="I558" s="7">
        <v>49689</v>
      </c>
      <c r="J558" t="s">
        <v>20</v>
      </c>
      <c r="K558" s="12">
        <v>17620</v>
      </c>
      <c r="L558" t="s">
        <v>0</v>
      </c>
      <c r="M558" s="12">
        <v>324657.31</v>
      </c>
      <c r="N558" t="s">
        <v>1</v>
      </c>
      <c r="O558" s="12">
        <v>18.43</v>
      </c>
      <c r="P558" s="12">
        <v>63609.65</v>
      </c>
      <c r="Q558" s="12">
        <v>3.61</v>
      </c>
    </row>
    <row r="559" spans="1:17" x14ac:dyDescent="0.2">
      <c r="A559" t="s">
        <v>29</v>
      </c>
      <c r="B559" t="s">
        <v>30</v>
      </c>
      <c r="C559" s="5">
        <v>51056911.75</v>
      </c>
      <c r="D559" s="2">
        <v>44951</v>
      </c>
      <c r="E559" s="5">
        <f t="shared" si="12"/>
        <v>107219514.67500001</v>
      </c>
      <c r="F559" s="2">
        <v>44952</v>
      </c>
      <c r="G559" s="3" t="s">
        <v>420</v>
      </c>
      <c r="H559" t="s">
        <v>125</v>
      </c>
      <c r="I559" s="7">
        <v>49689</v>
      </c>
      <c r="J559" t="s">
        <v>20</v>
      </c>
      <c r="K559" s="12">
        <v>1440</v>
      </c>
      <c r="L559" t="s">
        <v>0</v>
      </c>
      <c r="M559" s="12">
        <v>25831.439999999999</v>
      </c>
      <c r="N559" t="s">
        <v>1</v>
      </c>
      <c r="O559" s="12">
        <v>17.940000000000001</v>
      </c>
      <c r="P559" s="12">
        <v>5061.12</v>
      </c>
      <c r="Q559" s="12">
        <v>3.51</v>
      </c>
    </row>
    <row r="560" spans="1:17" x14ac:dyDescent="0.2">
      <c r="A560" t="s">
        <v>29</v>
      </c>
      <c r="B560" t="s">
        <v>30</v>
      </c>
      <c r="C560" s="5">
        <v>51056911.759999998</v>
      </c>
      <c r="D560" s="2">
        <v>44944</v>
      </c>
      <c r="E560" s="5">
        <f t="shared" si="12"/>
        <v>107219514.69599999</v>
      </c>
      <c r="F560" s="2">
        <v>44952</v>
      </c>
      <c r="G560" s="3" t="s">
        <v>580</v>
      </c>
      <c r="H560" t="s">
        <v>268</v>
      </c>
      <c r="I560" s="7">
        <v>49731</v>
      </c>
      <c r="J560" t="s">
        <v>23</v>
      </c>
      <c r="K560" s="12">
        <v>2381</v>
      </c>
      <c r="L560" t="s">
        <v>0</v>
      </c>
      <c r="M560" s="12">
        <v>41786.550000000003</v>
      </c>
      <c r="N560" t="s">
        <v>1</v>
      </c>
      <c r="O560" s="12">
        <v>17.55</v>
      </c>
      <c r="P560" s="12">
        <v>8187.18</v>
      </c>
      <c r="Q560" s="12">
        <v>3.44</v>
      </c>
    </row>
    <row r="561" spans="1:17" x14ac:dyDescent="0.2">
      <c r="A561" t="s">
        <v>29</v>
      </c>
      <c r="B561" t="s">
        <v>30</v>
      </c>
      <c r="C561" s="5">
        <v>51056911.93</v>
      </c>
      <c r="D561" s="2">
        <v>44951</v>
      </c>
      <c r="E561" s="5">
        <f t="shared" si="12"/>
        <v>107219515.053</v>
      </c>
      <c r="F561" s="2">
        <v>44952</v>
      </c>
      <c r="G561" s="3" t="s">
        <v>579</v>
      </c>
      <c r="H561" t="s">
        <v>267</v>
      </c>
      <c r="I561" s="7">
        <v>49689</v>
      </c>
      <c r="J561" t="s">
        <v>20</v>
      </c>
      <c r="K561" s="12">
        <v>2610</v>
      </c>
      <c r="L561" t="s">
        <v>0</v>
      </c>
      <c r="M561" s="12">
        <v>48090.559999999998</v>
      </c>
      <c r="N561" t="s">
        <v>1</v>
      </c>
      <c r="O561" s="12">
        <v>18.43</v>
      </c>
      <c r="P561" s="12">
        <v>9422.32</v>
      </c>
      <c r="Q561" s="12">
        <v>3.61</v>
      </c>
    </row>
    <row r="562" spans="1:17" x14ac:dyDescent="0.2">
      <c r="A562" t="s">
        <v>29</v>
      </c>
      <c r="B562" t="s">
        <v>30</v>
      </c>
      <c r="C562" s="5">
        <v>51056912.060000002</v>
      </c>
      <c r="D562" s="2">
        <v>44949</v>
      </c>
      <c r="E562" s="5">
        <f t="shared" si="12"/>
        <v>107219515.32600001</v>
      </c>
      <c r="F562" s="2">
        <v>44952</v>
      </c>
      <c r="G562" s="3" t="s">
        <v>420</v>
      </c>
      <c r="H562" t="s">
        <v>125</v>
      </c>
      <c r="I562" s="7">
        <v>49732</v>
      </c>
      <c r="J562" t="s">
        <v>27</v>
      </c>
      <c r="K562" s="12">
        <v>18000</v>
      </c>
      <c r="L562" t="s">
        <v>0</v>
      </c>
      <c r="M562" s="12">
        <v>309000</v>
      </c>
      <c r="N562" t="s">
        <v>1</v>
      </c>
      <c r="O562" s="12">
        <v>17.170000000000002</v>
      </c>
      <c r="P562" s="12">
        <v>60541.94</v>
      </c>
      <c r="Q562" s="12">
        <v>3.36</v>
      </c>
    </row>
    <row r="563" spans="1:17" x14ac:dyDescent="0.2">
      <c r="A563" t="s">
        <v>29</v>
      </c>
      <c r="B563" t="s">
        <v>30</v>
      </c>
      <c r="C563" s="5">
        <v>51056912.32</v>
      </c>
      <c r="D563" s="2">
        <v>44952</v>
      </c>
      <c r="E563" s="5">
        <f t="shared" si="12"/>
        <v>107219515.87200001</v>
      </c>
      <c r="F563" s="2">
        <v>44952</v>
      </c>
      <c r="G563" s="3" t="s">
        <v>392</v>
      </c>
      <c r="H563" t="s">
        <v>57</v>
      </c>
      <c r="I563" s="7">
        <v>35334</v>
      </c>
      <c r="J563" t="s">
        <v>24</v>
      </c>
      <c r="K563" s="12">
        <v>7.8</v>
      </c>
      <c r="L563" t="s">
        <v>2</v>
      </c>
      <c r="M563" s="12">
        <v>115778.27</v>
      </c>
      <c r="N563" t="s">
        <v>1</v>
      </c>
      <c r="O563" s="12">
        <v>14843.37</v>
      </c>
      <c r="P563" s="12">
        <v>22000.3</v>
      </c>
      <c r="Q563" s="12">
        <v>2820.55</v>
      </c>
    </row>
    <row r="564" spans="1:17" x14ac:dyDescent="0.2">
      <c r="A564" t="s">
        <v>29</v>
      </c>
      <c r="B564" t="s">
        <v>30</v>
      </c>
      <c r="C564" s="5">
        <v>51056912.390000001</v>
      </c>
      <c r="D564" s="2">
        <v>44950</v>
      </c>
      <c r="E564" s="5">
        <f t="shared" si="12"/>
        <v>107219516.01900001</v>
      </c>
      <c r="F564" s="2">
        <v>44952</v>
      </c>
      <c r="G564" s="3" t="s">
        <v>326</v>
      </c>
      <c r="H564" t="s">
        <v>36</v>
      </c>
      <c r="I564" s="7">
        <v>35333</v>
      </c>
      <c r="J564" t="s">
        <v>22</v>
      </c>
      <c r="K564" s="12">
        <v>3</v>
      </c>
      <c r="L564" t="s">
        <v>2</v>
      </c>
      <c r="M564" s="12">
        <v>42091.69</v>
      </c>
      <c r="N564" t="s">
        <v>1</v>
      </c>
      <c r="O564" s="12">
        <v>14030.56</v>
      </c>
      <c r="P564" s="12">
        <v>8246.9699999999993</v>
      </c>
      <c r="Q564" s="12">
        <v>2748.99</v>
      </c>
    </row>
    <row r="565" spans="1:17" x14ac:dyDescent="0.2">
      <c r="A565" t="s">
        <v>29</v>
      </c>
      <c r="B565" t="s">
        <v>30</v>
      </c>
      <c r="C565" s="5">
        <v>51056912.829999998</v>
      </c>
      <c r="D565" s="2">
        <v>44951</v>
      </c>
      <c r="E565" s="5">
        <f t="shared" si="12"/>
        <v>107219516.943</v>
      </c>
      <c r="F565" s="2">
        <v>44952</v>
      </c>
      <c r="G565" s="3" t="s">
        <v>579</v>
      </c>
      <c r="H565" t="s">
        <v>267</v>
      </c>
      <c r="I565" s="7">
        <v>49689</v>
      </c>
      <c r="J565" t="s">
        <v>20</v>
      </c>
      <c r="K565" s="12">
        <v>15110</v>
      </c>
      <c r="L565" t="s">
        <v>0</v>
      </c>
      <c r="M565" s="12">
        <v>278409.31</v>
      </c>
      <c r="N565" t="s">
        <v>1</v>
      </c>
      <c r="O565" s="12">
        <v>18.43</v>
      </c>
      <c r="P565" s="12">
        <v>54548.35</v>
      </c>
      <c r="Q565" s="12">
        <v>3.61</v>
      </c>
    </row>
    <row r="566" spans="1:17" x14ac:dyDescent="0.2">
      <c r="A566" t="s">
        <v>29</v>
      </c>
      <c r="B566" t="s">
        <v>30</v>
      </c>
      <c r="C566" s="5">
        <v>51056912.840000004</v>
      </c>
      <c r="D566" s="2">
        <v>44951</v>
      </c>
      <c r="E566" s="5">
        <f t="shared" si="12"/>
        <v>107219516.96400002</v>
      </c>
      <c r="F566" s="2">
        <v>44952</v>
      </c>
      <c r="G566" s="3" t="s">
        <v>474</v>
      </c>
      <c r="H566" t="s">
        <v>57</v>
      </c>
      <c r="I566" s="7">
        <v>49689</v>
      </c>
      <c r="J566" t="s">
        <v>20</v>
      </c>
      <c r="K566" s="12">
        <v>8274</v>
      </c>
      <c r="L566" t="s">
        <v>0</v>
      </c>
      <c r="M566" s="12">
        <v>129828.71</v>
      </c>
      <c r="N566" t="s">
        <v>1</v>
      </c>
      <c r="O566" s="12">
        <v>15.69</v>
      </c>
      <c r="P566" s="12">
        <v>25437.16</v>
      </c>
      <c r="Q566" s="12">
        <v>3.07</v>
      </c>
    </row>
    <row r="567" spans="1:17" x14ac:dyDescent="0.2">
      <c r="A567" t="s">
        <v>29</v>
      </c>
      <c r="B567" t="s">
        <v>30</v>
      </c>
      <c r="C567" s="5">
        <v>51056912.850000001</v>
      </c>
      <c r="D567" s="2">
        <v>44951</v>
      </c>
      <c r="E567" s="5">
        <f t="shared" si="12"/>
        <v>107219516.98500001</v>
      </c>
      <c r="F567" s="2">
        <v>44952</v>
      </c>
      <c r="G567" s="3" t="s">
        <v>498</v>
      </c>
      <c r="H567" t="s">
        <v>197</v>
      </c>
      <c r="I567" s="7">
        <v>49689</v>
      </c>
      <c r="J567" t="s">
        <v>20</v>
      </c>
      <c r="K567" s="12">
        <v>9600</v>
      </c>
      <c r="L567" t="s">
        <v>0</v>
      </c>
      <c r="M567" s="12">
        <v>170400</v>
      </c>
      <c r="N567" t="s">
        <v>1</v>
      </c>
      <c r="O567" s="12">
        <v>17.75</v>
      </c>
      <c r="P567" s="12">
        <v>33386.230000000003</v>
      </c>
      <c r="Q567" s="12">
        <v>3.48</v>
      </c>
    </row>
    <row r="568" spans="1:17" x14ac:dyDescent="0.2">
      <c r="A568" t="s">
        <v>29</v>
      </c>
      <c r="B568" t="s">
        <v>30</v>
      </c>
      <c r="C568" s="5">
        <v>51056913.130000003</v>
      </c>
      <c r="D568" s="2">
        <v>44952</v>
      </c>
      <c r="E568" s="5">
        <f t="shared" si="12"/>
        <v>107219517.57300001</v>
      </c>
      <c r="F568" s="2">
        <v>44952</v>
      </c>
      <c r="G568" s="3" t="s">
        <v>581</v>
      </c>
      <c r="H568" t="s">
        <v>269</v>
      </c>
      <c r="I568" s="7">
        <v>49689</v>
      </c>
      <c r="J568" t="s">
        <v>20</v>
      </c>
      <c r="K568" s="12">
        <v>4200</v>
      </c>
      <c r="L568" t="s">
        <v>0</v>
      </c>
      <c r="M568" s="12">
        <v>74263.98</v>
      </c>
      <c r="N568" t="s">
        <v>1</v>
      </c>
      <c r="O568" s="12">
        <v>17.68</v>
      </c>
      <c r="P568" s="12">
        <v>14550.44</v>
      </c>
      <c r="Q568" s="12">
        <v>3.46</v>
      </c>
    </row>
    <row r="569" spans="1:17" x14ac:dyDescent="0.2">
      <c r="A569" t="s">
        <v>29</v>
      </c>
      <c r="B569" t="s">
        <v>30</v>
      </c>
      <c r="C569" s="5">
        <v>51056913.170000002</v>
      </c>
      <c r="D569" s="2">
        <v>44952</v>
      </c>
      <c r="E569" s="5">
        <f t="shared" si="12"/>
        <v>107219517.65700001</v>
      </c>
      <c r="F569" s="2">
        <v>44952</v>
      </c>
      <c r="G569" s="3" t="s">
        <v>581</v>
      </c>
      <c r="H569" t="s">
        <v>269</v>
      </c>
      <c r="I569" s="7">
        <v>49689</v>
      </c>
      <c r="J569" t="s">
        <v>20</v>
      </c>
      <c r="K569" s="12">
        <v>5580</v>
      </c>
      <c r="L569" t="s">
        <v>0</v>
      </c>
      <c r="M569" s="12">
        <v>100553.27</v>
      </c>
      <c r="N569" t="s">
        <v>1</v>
      </c>
      <c r="O569" s="12">
        <v>18.02</v>
      </c>
      <c r="P569" s="12">
        <v>19701.259999999998</v>
      </c>
      <c r="Q569" s="12">
        <v>3.53</v>
      </c>
    </row>
    <row r="570" spans="1:17" x14ac:dyDescent="0.2">
      <c r="A570" t="s">
        <v>29</v>
      </c>
      <c r="B570" t="s">
        <v>30</v>
      </c>
      <c r="C570" s="5">
        <v>51056913.200000003</v>
      </c>
      <c r="D570" s="2">
        <v>44952</v>
      </c>
      <c r="E570" s="5">
        <f t="shared" si="12"/>
        <v>107219517.72000001</v>
      </c>
      <c r="F570" s="2">
        <v>44952</v>
      </c>
      <c r="G570" s="3" t="s">
        <v>581</v>
      </c>
      <c r="H570" t="s">
        <v>269</v>
      </c>
      <c r="I570" s="7">
        <v>49689</v>
      </c>
      <c r="J570" t="s">
        <v>20</v>
      </c>
      <c r="K570" s="12">
        <v>3180</v>
      </c>
      <c r="L570" t="s">
        <v>0</v>
      </c>
      <c r="M570" s="12">
        <v>54614.22</v>
      </c>
      <c r="N570" t="s">
        <v>1</v>
      </c>
      <c r="O570" s="12">
        <v>17.170000000000002</v>
      </c>
      <c r="P570" s="12">
        <v>10700.49</v>
      </c>
      <c r="Q570" s="12">
        <v>3.36</v>
      </c>
    </row>
    <row r="571" spans="1:17" x14ac:dyDescent="0.2">
      <c r="A571" t="s">
        <v>29</v>
      </c>
      <c r="B571" t="s">
        <v>30</v>
      </c>
      <c r="C571" s="5">
        <v>51056913.43</v>
      </c>
      <c r="D571" s="2">
        <v>44952</v>
      </c>
      <c r="E571" s="5">
        <f t="shared" si="12"/>
        <v>107219518.20300001</v>
      </c>
      <c r="F571" s="2">
        <v>44952</v>
      </c>
      <c r="G571" s="3" t="s">
        <v>582</v>
      </c>
      <c r="H571" t="s">
        <v>270</v>
      </c>
      <c r="I571" s="7">
        <v>49731</v>
      </c>
      <c r="J571" t="s">
        <v>23</v>
      </c>
      <c r="K571" s="12">
        <v>2087.3000000000002</v>
      </c>
      <c r="L571" t="s">
        <v>0</v>
      </c>
      <c r="M571" s="12">
        <v>38653.25</v>
      </c>
      <c r="N571" t="s">
        <v>1</v>
      </c>
      <c r="O571" s="12">
        <v>18.52</v>
      </c>
      <c r="P571" s="12">
        <v>7573.28</v>
      </c>
      <c r="Q571" s="12">
        <v>3.63</v>
      </c>
    </row>
    <row r="572" spans="1:17" x14ac:dyDescent="0.2">
      <c r="A572" t="s">
        <v>29</v>
      </c>
      <c r="B572" t="s">
        <v>30</v>
      </c>
      <c r="C572" s="5">
        <v>51056913.460000001</v>
      </c>
      <c r="D572" s="2">
        <v>44952</v>
      </c>
      <c r="E572" s="5">
        <f t="shared" si="12"/>
        <v>107219518.266</v>
      </c>
      <c r="F572" s="2">
        <v>44952</v>
      </c>
      <c r="G572" s="3" t="s">
        <v>583</v>
      </c>
      <c r="H572" t="s">
        <v>271</v>
      </c>
      <c r="I572" s="7">
        <v>49731</v>
      </c>
      <c r="J572" t="s">
        <v>23</v>
      </c>
      <c r="K572" s="12">
        <v>3392</v>
      </c>
      <c r="L572" t="s">
        <v>0</v>
      </c>
      <c r="M572" s="12">
        <v>63948.02</v>
      </c>
      <c r="N572" t="s">
        <v>1</v>
      </c>
      <c r="O572" s="12">
        <v>18.850000000000001</v>
      </c>
      <c r="P572" s="12">
        <v>12529.25</v>
      </c>
      <c r="Q572" s="12">
        <v>3.69</v>
      </c>
    </row>
    <row r="573" spans="1:17" x14ac:dyDescent="0.2">
      <c r="A573" t="s">
        <v>29</v>
      </c>
      <c r="B573" t="s">
        <v>30</v>
      </c>
      <c r="C573" s="5">
        <v>51056914.399999999</v>
      </c>
      <c r="D573" s="2">
        <v>44945</v>
      </c>
      <c r="E573" s="5">
        <f t="shared" si="12"/>
        <v>107219520.23999999</v>
      </c>
      <c r="F573" s="2">
        <v>44952</v>
      </c>
      <c r="G573" s="3" t="s">
        <v>490</v>
      </c>
      <c r="H573" t="s">
        <v>192</v>
      </c>
      <c r="I573" s="7">
        <v>49689</v>
      </c>
      <c r="J573" t="s">
        <v>20</v>
      </c>
      <c r="K573" s="12">
        <v>4740</v>
      </c>
      <c r="L573" t="s">
        <v>0</v>
      </c>
      <c r="M573" s="12">
        <v>79395</v>
      </c>
      <c r="N573" t="s">
        <v>1</v>
      </c>
      <c r="O573" s="12">
        <v>16.75</v>
      </c>
      <c r="P573" s="12">
        <v>15555.75</v>
      </c>
      <c r="Q573" s="12">
        <v>3.28</v>
      </c>
    </row>
    <row r="574" spans="1:17" x14ac:dyDescent="0.2">
      <c r="A574" t="s">
        <v>29</v>
      </c>
      <c r="B574" t="s">
        <v>30</v>
      </c>
      <c r="C574" s="5">
        <v>51056915.210000001</v>
      </c>
      <c r="D574" s="2">
        <v>44950</v>
      </c>
      <c r="E574" s="5">
        <f t="shared" si="12"/>
        <v>107219521.941</v>
      </c>
      <c r="F574" s="2">
        <v>44952</v>
      </c>
      <c r="G574" s="3" t="s">
        <v>490</v>
      </c>
      <c r="H574" t="s">
        <v>192</v>
      </c>
      <c r="I574" s="7">
        <v>49689</v>
      </c>
      <c r="J574" t="s">
        <v>20</v>
      </c>
      <c r="K574" s="12">
        <v>3000</v>
      </c>
      <c r="L574" t="s">
        <v>0</v>
      </c>
      <c r="M574" s="12">
        <v>52000</v>
      </c>
      <c r="N574" t="s">
        <v>1</v>
      </c>
      <c r="O574" s="12">
        <v>17.329999999999998</v>
      </c>
      <c r="P574" s="12">
        <v>10188.290000000001</v>
      </c>
      <c r="Q574" s="12">
        <v>3.4</v>
      </c>
    </row>
    <row r="575" spans="1:17" x14ac:dyDescent="0.2">
      <c r="A575" t="s">
        <v>29</v>
      </c>
      <c r="B575" t="s">
        <v>30</v>
      </c>
      <c r="C575" s="5">
        <v>51056915.219999999</v>
      </c>
      <c r="D575" s="2">
        <v>44950</v>
      </c>
      <c r="E575" s="5">
        <f t="shared" si="12"/>
        <v>107219521.962</v>
      </c>
      <c r="F575" s="2">
        <v>44952</v>
      </c>
      <c r="G575" s="3" t="s">
        <v>584</v>
      </c>
      <c r="H575" t="s">
        <v>272</v>
      </c>
      <c r="I575" s="7">
        <v>49689</v>
      </c>
      <c r="J575" t="s">
        <v>20</v>
      </c>
      <c r="K575" s="12">
        <v>8618.5</v>
      </c>
      <c r="L575" t="s">
        <v>0</v>
      </c>
      <c r="M575" s="12">
        <v>147251.38</v>
      </c>
      <c r="N575" t="s">
        <v>1</v>
      </c>
      <c r="O575" s="12">
        <v>17.09</v>
      </c>
      <c r="P575" s="12">
        <v>28850.76</v>
      </c>
      <c r="Q575" s="12">
        <v>3.35</v>
      </c>
    </row>
    <row r="576" spans="1:17" x14ac:dyDescent="0.2">
      <c r="A576" t="s">
        <v>29</v>
      </c>
      <c r="B576" t="s">
        <v>30</v>
      </c>
      <c r="C576" s="5">
        <v>51056915.25</v>
      </c>
      <c r="D576" s="2">
        <v>44950</v>
      </c>
      <c r="E576" s="5">
        <f t="shared" si="12"/>
        <v>107219522.02500001</v>
      </c>
      <c r="F576" s="2">
        <v>44952</v>
      </c>
      <c r="G576" s="3" t="s">
        <v>584</v>
      </c>
      <c r="H576" t="s">
        <v>272</v>
      </c>
      <c r="I576" s="7">
        <v>49689</v>
      </c>
      <c r="J576" t="s">
        <v>20</v>
      </c>
      <c r="K576" s="12">
        <v>2520</v>
      </c>
      <c r="L576" t="s">
        <v>0</v>
      </c>
      <c r="M576" s="12">
        <v>43688.23</v>
      </c>
      <c r="N576" t="s">
        <v>1</v>
      </c>
      <c r="O576" s="12">
        <v>17.34</v>
      </c>
      <c r="P576" s="12">
        <v>8559.77</v>
      </c>
      <c r="Q576" s="12">
        <v>3.4</v>
      </c>
    </row>
    <row r="577" spans="1:17" x14ac:dyDescent="0.2">
      <c r="A577" t="s">
        <v>29</v>
      </c>
      <c r="B577" t="s">
        <v>30</v>
      </c>
      <c r="C577" s="5">
        <v>51056915.539999999</v>
      </c>
      <c r="D577" s="2">
        <v>44953</v>
      </c>
      <c r="E577" s="5">
        <f t="shared" si="12"/>
        <v>107219522.634</v>
      </c>
      <c r="F577" s="2">
        <v>44952</v>
      </c>
      <c r="G577" s="3" t="s">
        <v>585</v>
      </c>
      <c r="H577" t="s">
        <v>273</v>
      </c>
      <c r="I577" s="7">
        <v>35333</v>
      </c>
      <c r="J577" t="s">
        <v>22</v>
      </c>
      <c r="K577" s="12">
        <v>2.4849999999999999</v>
      </c>
      <c r="L577" t="s">
        <v>2</v>
      </c>
      <c r="M577" s="12">
        <v>34908.660000000003</v>
      </c>
      <c r="N577" t="s">
        <v>1</v>
      </c>
      <c r="O577" s="12">
        <v>14047.75</v>
      </c>
      <c r="P577" s="12">
        <v>6839.61</v>
      </c>
      <c r="Q577" s="12">
        <v>2752.36</v>
      </c>
    </row>
    <row r="578" spans="1:17" x14ac:dyDescent="0.2">
      <c r="A578" t="s">
        <v>29</v>
      </c>
      <c r="B578" t="s">
        <v>30</v>
      </c>
      <c r="C578" s="5">
        <v>51056915.859999999</v>
      </c>
      <c r="D578" s="2">
        <v>44952</v>
      </c>
      <c r="E578" s="5">
        <f t="shared" si="12"/>
        <v>107219523.30600001</v>
      </c>
      <c r="F578" s="2">
        <v>44952</v>
      </c>
      <c r="G578" s="3" t="s">
        <v>586</v>
      </c>
      <c r="H578" t="s">
        <v>274</v>
      </c>
      <c r="I578" s="7">
        <v>49689</v>
      </c>
      <c r="J578" t="s">
        <v>20</v>
      </c>
      <c r="K578" s="12">
        <v>23400</v>
      </c>
      <c r="L578" t="s">
        <v>0</v>
      </c>
      <c r="M578" s="12">
        <v>429000</v>
      </c>
      <c r="N578" t="s">
        <v>1</v>
      </c>
      <c r="O578" s="12">
        <v>18.329999999999998</v>
      </c>
      <c r="P578" s="12">
        <v>84053.37</v>
      </c>
      <c r="Q578" s="12">
        <v>3.59</v>
      </c>
    </row>
    <row r="579" spans="1:17" x14ac:dyDescent="0.2">
      <c r="A579" t="s">
        <v>29</v>
      </c>
      <c r="B579" t="s">
        <v>30</v>
      </c>
      <c r="C579" s="5">
        <v>51056915.890000001</v>
      </c>
      <c r="D579" s="2">
        <v>44951</v>
      </c>
      <c r="E579" s="5">
        <f t="shared" si="12"/>
        <v>107219523.369</v>
      </c>
      <c r="F579" s="2">
        <v>44952</v>
      </c>
      <c r="G579" s="3" t="s">
        <v>374</v>
      </c>
      <c r="H579" t="s">
        <v>83</v>
      </c>
      <c r="I579" s="7">
        <v>49689</v>
      </c>
      <c r="J579" t="s">
        <v>20</v>
      </c>
      <c r="K579" s="12">
        <v>4380</v>
      </c>
      <c r="L579" t="s">
        <v>0</v>
      </c>
      <c r="M579" s="12">
        <v>67268.77</v>
      </c>
      <c r="N579" t="s">
        <v>1</v>
      </c>
      <c r="O579" s="12">
        <v>15.36</v>
      </c>
      <c r="P579" s="12">
        <v>13179.88</v>
      </c>
      <c r="Q579" s="12">
        <v>3.01</v>
      </c>
    </row>
    <row r="580" spans="1:17" x14ac:dyDescent="0.2">
      <c r="A580" t="s">
        <v>29</v>
      </c>
      <c r="B580" t="s">
        <v>30</v>
      </c>
      <c r="C580" s="5">
        <v>51056929.969999999</v>
      </c>
      <c r="D580" s="2">
        <v>44952</v>
      </c>
      <c r="E580" s="5">
        <f t="shared" si="12"/>
        <v>107219552.93700001</v>
      </c>
      <c r="F580" s="2">
        <v>44953</v>
      </c>
      <c r="G580" s="3" t="s">
        <v>480</v>
      </c>
      <c r="H580" t="s">
        <v>182</v>
      </c>
      <c r="I580" s="7">
        <v>35333</v>
      </c>
      <c r="J580" t="s">
        <v>22</v>
      </c>
      <c r="K580" s="12">
        <v>4.4329999999999998</v>
      </c>
      <c r="L580" t="s">
        <v>2</v>
      </c>
      <c r="M580" s="12">
        <v>61339.59</v>
      </c>
      <c r="N580" t="s">
        <v>1</v>
      </c>
      <c r="O580" s="12">
        <v>13837.04</v>
      </c>
      <c r="P580" s="12">
        <v>12018.18</v>
      </c>
      <c r="Q580" s="12">
        <v>2711.07</v>
      </c>
    </row>
    <row r="581" spans="1:17" x14ac:dyDescent="0.2">
      <c r="A581" t="s">
        <v>29</v>
      </c>
      <c r="B581" t="s">
        <v>30</v>
      </c>
      <c r="C581" s="5">
        <v>51056933.039999999</v>
      </c>
      <c r="D581" s="2">
        <v>44950</v>
      </c>
      <c r="E581" s="5">
        <f t="shared" si="12"/>
        <v>107219559.384</v>
      </c>
      <c r="F581" s="2">
        <v>44953</v>
      </c>
      <c r="G581" s="3" t="s">
        <v>416</v>
      </c>
      <c r="H581" t="s">
        <v>121</v>
      </c>
      <c r="I581" s="7">
        <v>35334</v>
      </c>
      <c r="J581" t="s">
        <v>24</v>
      </c>
      <c r="K581" s="12">
        <v>12</v>
      </c>
      <c r="L581" t="s">
        <v>2</v>
      </c>
      <c r="M581" s="12">
        <v>172663.01</v>
      </c>
      <c r="N581" t="s">
        <v>1</v>
      </c>
      <c r="O581" s="12">
        <v>14388.58</v>
      </c>
      <c r="P581" s="12">
        <v>33823.449999999997</v>
      </c>
      <c r="Q581" s="12">
        <v>2818.62</v>
      </c>
    </row>
    <row r="582" spans="1:17" x14ac:dyDescent="0.2">
      <c r="A582" t="s">
        <v>29</v>
      </c>
      <c r="B582" t="s">
        <v>30</v>
      </c>
      <c r="C582" s="5">
        <v>51056933.060000002</v>
      </c>
      <c r="D582" s="2">
        <v>44952</v>
      </c>
      <c r="E582" s="5">
        <f t="shared" si="12"/>
        <v>107219559.42600001</v>
      </c>
      <c r="F582" s="2">
        <v>44953</v>
      </c>
      <c r="G582" s="3" t="s">
        <v>510</v>
      </c>
      <c r="H582" t="s">
        <v>209</v>
      </c>
      <c r="I582" s="7">
        <v>35334</v>
      </c>
      <c r="J582" t="s">
        <v>24</v>
      </c>
      <c r="K582" s="12">
        <v>17.399999999999999</v>
      </c>
      <c r="L582" t="s">
        <v>2</v>
      </c>
      <c r="M582" s="12">
        <v>168366.75</v>
      </c>
      <c r="N582" t="s">
        <v>1</v>
      </c>
      <c r="O582" s="12">
        <v>9676.25</v>
      </c>
      <c r="P582" s="12">
        <v>32991.54</v>
      </c>
      <c r="Q582" s="12">
        <v>1896.07</v>
      </c>
    </row>
    <row r="583" spans="1:17" x14ac:dyDescent="0.2">
      <c r="A583" t="s">
        <v>29</v>
      </c>
      <c r="B583" t="s">
        <v>30</v>
      </c>
      <c r="C583" s="5">
        <v>51056935.980000004</v>
      </c>
      <c r="D583" s="2">
        <v>44951</v>
      </c>
      <c r="E583" s="5">
        <f t="shared" si="12"/>
        <v>107219565.55800001</v>
      </c>
      <c r="F583" s="2">
        <v>44953</v>
      </c>
      <c r="G583" s="3" t="s">
        <v>587</v>
      </c>
      <c r="H583" t="s">
        <v>275</v>
      </c>
      <c r="I583" s="7">
        <v>49689</v>
      </c>
      <c r="J583" t="s">
        <v>20</v>
      </c>
      <c r="K583" s="12">
        <v>9960</v>
      </c>
      <c r="L583" t="s">
        <v>0</v>
      </c>
      <c r="M583" s="12">
        <v>177344.44</v>
      </c>
      <c r="N583" t="s">
        <v>1</v>
      </c>
      <c r="O583" s="12">
        <v>17.809999999999999</v>
      </c>
      <c r="P583" s="12">
        <v>34808.910000000003</v>
      </c>
      <c r="Q583" s="12">
        <v>3.49</v>
      </c>
    </row>
    <row r="584" spans="1:17" x14ac:dyDescent="0.2">
      <c r="A584" t="s">
        <v>29</v>
      </c>
      <c r="B584" t="s">
        <v>30</v>
      </c>
      <c r="C584" s="5">
        <v>51056937.009999998</v>
      </c>
      <c r="D584" s="2">
        <v>44952</v>
      </c>
      <c r="E584" s="5">
        <f t="shared" si="12"/>
        <v>107219567.721</v>
      </c>
      <c r="F584" s="2">
        <v>44953</v>
      </c>
      <c r="G584" s="3" t="s">
        <v>375</v>
      </c>
      <c r="H584" t="s">
        <v>84</v>
      </c>
      <c r="I584" s="7">
        <v>49689</v>
      </c>
      <c r="J584" t="s">
        <v>20</v>
      </c>
      <c r="K584" s="12">
        <v>5000</v>
      </c>
      <c r="L584" t="s">
        <v>0</v>
      </c>
      <c r="M584" s="12">
        <v>86200</v>
      </c>
      <c r="N584" t="s">
        <v>1</v>
      </c>
      <c r="O584" s="12">
        <v>17.239999999999998</v>
      </c>
      <c r="P584" s="12">
        <v>16919.21</v>
      </c>
      <c r="Q584" s="12">
        <v>3.38</v>
      </c>
    </row>
    <row r="585" spans="1:17" x14ac:dyDescent="0.2">
      <c r="A585" t="s">
        <v>29</v>
      </c>
      <c r="B585" t="s">
        <v>30</v>
      </c>
      <c r="C585" s="5">
        <v>51056938.310000002</v>
      </c>
      <c r="D585" s="2">
        <v>44952</v>
      </c>
      <c r="E585" s="5">
        <f t="shared" si="12"/>
        <v>107219570.45100001</v>
      </c>
      <c r="F585" s="2">
        <v>44953</v>
      </c>
      <c r="G585" s="3" t="s">
        <v>587</v>
      </c>
      <c r="H585" t="s">
        <v>275</v>
      </c>
      <c r="I585" s="7">
        <v>49689</v>
      </c>
      <c r="J585" t="s">
        <v>20</v>
      </c>
      <c r="K585" s="12">
        <v>6000</v>
      </c>
      <c r="L585" t="s">
        <v>0</v>
      </c>
      <c r="M585" s="12">
        <v>104550</v>
      </c>
      <c r="N585" t="s">
        <v>1</v>
      </c>
      <c r="O585" s="12">
        <v>17.43</v>
      </c>
      <c r="P585" s="12">
        <v>20520.919999999998</v>
      </c>
      <c r="Q585" s="12">
        <v>3.42</v>
      </c>
    </row>
    <row r="586" spans="1:17" x14ac:dyDescent="0.2">
      <c r="A586" t="s">
        <v>29</v>
      </c>
      <c r="B586" t="s">
        <v>30</v>
      </c>
      <c r="C586" s="5">
        <v>51056938.460000001</v>
      </c>
      <c r="D586" s="2">
        <v>44952</v>
      </c>
      <c r="E586" s="5">
        <f t="shared" si="12"/>
        <v>107219570.766</v>
      </c>
      <c r="F586" s="2">
        <v>44953</v>
      </c>
      <c r="G586" s="3" t="s">
        <v>457</v>
      </c>
      <c r="H586" t="s">
        <v>161</v>
      </c>
      <c r="I586" s="7">
        <v>49689</v>
      </c>
      <c r="J586" t="s">
        <v>20</v>
      </c>
      <c r="K586" s="12">
        <v>19860</v>
      </c>
      <c r="L586" t="s">
        <v>0</v>
      </c>
      <c r="M586" s="12">
        <v>302600.2</v>
      </c>
      <c r="N586" t="s">
        <v>1</v>
      </c>
      <c r="O586" s="12">
        <v>15.24</v>
      </c>
      <c r="P586" s="12">
        <v>59393.93</v>
      </c>
      <c r="Q586" s="12">
        <v>2.99</v>
      </c>
    </row>
    <row r="587" spans="1:17" x14ac:dyDescent="0.2">
      <c r="A587" t="s">
        <v>29</v>
      </c>
      <c r="B587" t="s">
        <v>30</v>
      </c>
      <c r="C587" s="5">
        <v>51056938.5</v>
      </c>
      <c r="D587" s="2">
        <v>44950</v>
      </c>
      <c r="E587" s="5">
        <f t="shared" si="12"/>
        <v>107219570.85000001</v>
      </c>
      <c r="F587" s="2">
        <v>44953</v>
      </c>
      <c r="G587" s="3" t="s">
        <v>364</v>
      </c>
      <c r="H587" t="s">
        <v>73</v>
      </c>
      <c r="I587" s="7">
        <v>49689</v>
      </c>
      <c r="J587" t="s">
        <v>20</v>
      </c>
      <c r="K587" s="12">
        <v>15300</v>
      </c>
      <c r="L587" t="s">
        <v>0</v>
      </c>
      <c r="M587" s="12">
        <v>264503.84999999998</v>
      </c>
      <c r="N587" t="s">
        <v>1</v>
      </c>
      <c r="O587" s="12">
        <v>17.29</v>
      </c>
      <c r="P587" s="12">
        <v>51916.43</v>
      </c>
      <c r="Q587" s="12">
        <v>3.39</v>
      </c>
    </row>
    <row r="588" spans="1:17" x14ac:dyDescent="0.2">
      <c r="A588" t="s">
        <v>29</v>
      </c>
      <c r="B588" t="s">
        <v>30</v>
      </c>
      <c r="C588" s="5">
        <v>51056938.609999999</v>
      </c>
      <c r="D588" s="2">
        <v>44950</v>
      </c>
      <c r="E588" s="5">
        <f t="shared" si="12"/>
        <v>107219571.081</v>
      </c>
      <c r="F588" s="2">
        <v>44953</v>
      </c>
      <c r="G588" s="3" t="s">
        <v>588</v>
      </c>
      <c r="H588" t="s">
        <v>276</v>
      </c>
      <c r="I588" s="7">
        <v>49689</v>
      </c>
      <c r="J588" t="s">
        <v>20</v>
      </c>
      <c r="K588" s="12">
        <v>7200</v>
      </c>
      <c r="L588" t="s">
        <v>0</v>
      </c>
      <c r="M588" s="12">
        <v>123000.48</v>
      </c>
      <c r="N588" t="s">
        <v>1</v>
      </c>
      <c r="O588" s="12">
        <v>17.079999999999998</v>
      </c>
      <c r="P588" s="12">
        <v>24142.36</v>
      </c>
      <c r="Q588" s="12">
        <v>3.35</v>
      </c>
    </row>
    <row r="589" spans="1:17" x14ac:dyDescent="0.2">
      <c r="A589" t="s">
        <v>29</v>
      </c>
      <c r="B589" t="s">
        <v>30</v>
      </c>
      <c r="C589" s="5">
        <v>51056938.630000003</v>
      </c>
      <c r="D589" s="2">
        <v>44951</v>
      </c>
      <c r="E589" s="5">
        <f t="shared" si="12"/>
        <v>107219571.12300001</v>
      </c>
      <c r="F589" s="2">
        <v>44953</v>
      </c>
      <c r="G589" s="3" t="s">
        <v>588</v>
      </c>
      <c r="H589" t="s">
        <v>276</v>
      </c>
      <c r="I589" s="7">
        <v>49689</v>
      </c>
      <c r="J589" t="s">
        <v>20</v>
      </c>
      <c r="K589" s="12">
        <v>4800</v>
      </c>
      <c r="L589" t="s">
        <v>0</v>
      </c>
      <c r="M589" s="12">
        <v>82400.160000000003</v>
      </c>
      <c r="N589" t="s">
        <v>1</v>
      </c>
      <c r="O589" s="12">
        <v>17.170000000000002</v>
      </c>
      <c r="P589" s="12">
        <v>16173.38</v>
      </c>
      <c r="Q589" s="12">
        <v>3.37</v>
      </c>
    </row>
    <row r="590" spans="1:17" x14ac:dyDescent="0.2">
      <c r="A590" t="s">
        <v>29</v>
      </c>
      <c r="B590" t="s">
        <v>30</v>
      </c>
      <c r="C590" s="5">
        <v>51056938.660000004</v>
      </c>
      <c r="D590" s="2">
        <v>44952</v>
      </c>
      <c r="E590" s="5">
        <f t="shared" si="12"/>
        <v>107219571.18600002</v>
      </c>
      <c r="F590" s="2">
        <v>44953</v>
      </c>
      <c r="G590" s="3" t="s">
        <v>589</v>
      </c>
      <c r="H590" t="s">
        <v>277</v>
      </c>
      <c r="I590" s="7">
        <v>49731</v>
      </c>
      <c r="J590" t="s">
        <v>23</v>
      </c>
      <c r="K590" s="12">
        <v>2995.6</v>
      </c>
      <c r="L590" t="s">
        <v>0</v>
      </c>
      <c r="M590" s="12">
        <v>52973.29</v>
      </c>
      <c r="N590" t="s">
        <v>1</v>
      </c>
      <c r="O590" s="12">
        <v>17.68</v>
      </c>
      <c r="P590" s="12">
        <v>10397.52</v>
      </c>
      <c r="Q590" s="12">
        <v>3.47</v>
      </c>
    </row>
    <row r="591" spans="1:17" x14ac:dyDescent="0.2">
      <c r="A591" t="s">
        <v>29</v>
      </c>
      <c r="B591" t="s">
        <v>30</v>
      </c>
      <c r="C591" s="5">
        <v>51056938.670000002</v>
      </c>
      <c r="D591" s="2">
        <v>44949</v>
      </c>
      <c r="E591" s="5">
        <f t="shared" si="12"/>
        <v>107219571.207</v>
      </c>
      <c r="F591" s="2">
        <v>44953</v>
      </c>
      <c r="G591" s="3" t="s">
        <v>536</v>
      </c>
      <c r="H591" t="s">
        <v>229</v>
      </c>
      <c r="I591" s="7">
        <v>49738</v>
      </c>
      <c r="J591" t="s">
        <v>21</v>
      </c>
      <c r="K591" s="12">
        <v>19800</v>
      </c>
      <c r="L591" t="s">
        <v>0</v>
      </c>
      <c r="M591" s="12">
        <v>231000</v>
      </c>
      <c r="N591" t="s">
        <v>1</v>
      </c>
      <c r="O591" s="12">
        <v>11.67</v>
      </c>
      <c r="P591" s="12">
        <v>45351.66</v>
      </c>
      <c r="Q591" s="12">
        <v>2.29</v>
      </c>
    </row>
    <row r="592" spans="1:17" x14ac:dyDescent="0.2">
      <c r="A592" t="s">
        <v>29</v>
      </c>
      <c r="B592" t="s">
        <v>30</v>
      </c>
      <c r="C592" s="5">
        <v>51056938.870000005</v>
      </c>
      <c r="D592" s="2">
        <v>44950</v>
      </c>
      <c r="E592" s="5">
        <f t="shared" si="12"/>
        <v>107219571.62700002</v>
      </c>
      <c r="F592" s="2">
        <v>44953</v>
      </c>
      <c r="G592" s="3" t="s">
        <v>326</v>
      </c>
      <c r="H592" t="s">
        <v>36</v>
      </c>
      <c r="I592" s="7">
        <v>35333</v>
      </c>
      <c r="J592" t="s">
        <v>22</v>
      </c>
      <c r="K592" s="12">
        <v>2.8620000000000001</v>
      </c>
      <c r="L592" t="s">
        <v>2</v>
      </c>
      <c r="M592" s="12">
        <v>40155.46</v>
      </c>
      <c r="N592" t="s">
        <v>1</v>
      </c>
      <c r="O592" s="12">
        <v>14030.56</v>
      </c>
      <c r="P592" s="12">
        <v>7867.6</v>
      </c>
      <c r="Q592" s="12">
        <v>2748.99</v>
      </c>
    </row>
    <row r="593" spans="1:17" x14ac:dyDescent="0.2">
      <c r="A593" t="s">
        <v>29</v>
      </c>
      <c r="B593" t="s">
        <v>30</v>
      </c>
      <c r="C593" s="5">
        <v>51056938.920000002</v>
      </c>
      <c r="D593" s="2">
        <v>44952</v>
      </c>
      <c r="E593" s="5">
        <f t="shared" si="12"/>
        <v>107219571.73200001</v>
      </c>
      <c r="F593" s="2">
        <v>44953</v>
      </c>
      <c r="G593" s="3" t="s">
        <v>519</v>
      </c>
      <c r="H593" t="s">
        <v>215</v>
      </c>
      <c r="I593" s="7">
        <v>49689</v>
      </c>
      <c r="J593" t="s">
        <v>20</v>
      </c>
      <c r="K593" s="12">
        <v>15000</v>
      </c>
      <c r="L593" t="s">
        <v>0</v>
      </c>
      <c r="M593" s="12">
        <v>227355</v>
      </c>
      <c r="N593" t="s">
        <v>1</v>
      </c>
      <c r="O593" s="12">
        <v>15.16</v>
      </c>
      <c r="P593" s="12">
        <v>44624.91</v>
      </c>
      <c r="Q593" s="12">
        <v>2.97</v>
      </c>
    </row>
    <row r="594" spans="1:17" x14ac:dyDescent="0.2">
      <c r="A594" t="s">
        <v>29</v>
      </c>
      <c r="B594" t="s">
        <v>30</v>
      </c>
      <c r="C594" s="5">
        <v>51056939.289999999</v>
      </c>
      <c r="D594" s="2">
        <v>44952</v>
      </c>
      <c r="E594" s="5">
        <f t="shared" si="12"/>
        <v>107219572.509</v>
      </c>
      <c r="F594" s="2">
        <v>44953</v>
      </c>
      <c r="G594" s="3" t="s">
        <v>590</v>
      </c>
      <c r="H594" t="s">
        <v>278</v>
      </c>
      <c r="I594" s="7">
        <v>49689</v>
      </c>
      <c r="J594" t="s">
        <v>20</v>
      </c>
      <c r="K594" s="12">
        <v>16800</v>
      </c>
      <c r="L594" t="s">
        <v>0</v>
      </c>
      <c r="M594" s="12">
        <v>303801.12</v>
      </c>
      <c r="N594" t="s">
        <v>1</v>
      </c>
      <c r="O594" s="12">
        <v>18.079999999999998</v>
      </c>
      <c r="P594" s="12">
        <v>59629.65</v>
      </c>
      <c r="Q594" s="12">
        <v>3.55</v>
      </c>
    </row>
    <row r="595" spans="1:17" x14ac:dyDescent="0.2">
      <c r="A595" t="s">
        <v>29</v>
      </c>
      <c r="B595" t="s">
        <v>30</v>
      </c>
      <c r="C595" s="5">
        <v>51056940.68</v>
      </c>
      <c r="D595" s="2">
        <v>44951</v>
      </c>
      <c r="E595" s="5">
        <f t="shared" si="12"/>
        <v>107219575.428</v>
      </c>
      <c r="F595" s="2">
        <v>44953</v>
      </c>
      <c r="G595" s="3" t="s">
        <v>591</v>
      </c>
      <c r="H595" t="s">
        <v>279</v>
      </c>
      <c r="I595" s="7">
        <v>49689</v>
      </c>
      <c r="J595" t="s">
        <v>20</v>
      </c>
      <c r="K595" s="12">
        <v>1565</v>
      </c>
      <c r="L595" t="s">
        <v>0</v>
      </c>
      <c r="M595" s="12">
        <v>27544</v>
      </c>
      <c r="N595" t="s">
        <v>1</v>
      </c>
      <c r="O595" s="12">
        <v>17.600000000000001</v>
      </c>
      <c r="P595" s="12">
        <v>5406.3</v>
      </c>
      <c r="Q595" s="12">
        <v>3.45</v>
      </c>
    </row>
    <row r="596" spans="1:17" x14ac:dyDescent="0.2">
      <c r="A596" t="s">
        <v>29</v>
      </c>
      <c r="B596" t="s">
        <v>30</v>
      </c>
      <c r="C596" s="5">
        <v>51056941.93</v>
      </c>
      <c r="D596" s="2">
        <v>44953</v>
      </c>
      <c r="E596" s="5">
        <f t="shared" si="12"/>
        <v>107219578.053</v>
      </c>
      <c r="F596" s="2">
        <v>44953</v>
      </c>
      <c r="G596" s="3" t="s">
        <v>592</v>
      </c>
      <c r="H596" t="s">
        <v>280</v>
      </c>
      <c r="I596" s="7">
        <v>49689</v>
      </c>
      <c r="J596" t="s">
        <v>20</v>
      </c>
      <c r="K596" s="12">
        <v>30000</v>
      </c>
      <c r="L596" t="s">
        <v>0</v>
      </c>
      <c r="M596" s="12">
        <v>403962.5</v>
      </c>
      <c r="N596" t="s">
        <v>1</v>
      </c>
      <c r="O596" s="12">
        <v>13.47</v>
      </c>
      <c r="P596" s="12">
        <v>79289.179999999993</v>
      </c>
      <c r="Q596" s="12">
        <v>2.64</v>
      </c>
    </row>
    <row r="597" spans="1:17" x14ac:dyDescent="0.2">
      <c r="A597" t="s">
        <v>29</v>
      </c>
      <c r="B597" t="s">
        <v>30</v>
      </c>
      <c r="C597" s="5">
        <v>51056942.219999999</v>
      </c>
      <c r="D597" s="2">
        <v>44952</v>
      </c>
      <c r="E597" s="5">
        <f t="shared" si="12"/>
        <v>107219578.662</v>
      </c>
      <c r="F597" s="2">
        <v>44953</v>
      </c>
      <c r="G597" s="3" t="s">
        <v>593</v>
      </c>
      <c r="H597" t="s">
        <v>281</v>
      </c>
      <c r="I597" s="7">
        <v>49689</v>
      </c>
      <c r="J597" t="s">
        <v>20</v>
      </c>
      <c r="K597" s="12">
        <v>33300</v>
      </c>
      <c r="L597" t="s">
        <v>0</v>
      </c>
      <c r="M597" s="12">
        <v>588300</v>
      </c>
      <c r="N597" t="s">
        <v>1</v>
      </c>
      <c r="O597" s="12">
        <v>17.670000000000002</v>
      </c>
      <c r="P597" s="12">
        <v>115492.46</v>
      </c>
      <c r="Q597" s="12">
        <v>3.47</v>
      </c>
    </row>
    <row r="598" spans="1:17" x14ac:dyDescent="0.2">
      <c r="A598" t="s">
        <v>29</v>
      </c>
      <c r="B598" t="s">
        <v>30</v>
      </c>
      <c r="C598" s="5">
        <v>51056942.350000001</v>
      </c>
      <c r="D598" s="2">
        <v>44952</v>
      </c>
      <c r="E598" s="5">
        <f t="shared" si="12"/>
        <v>107219578.935</v>
      </c>
      <c r="F598" s="2">
        <v>44953</v>
      </c>
      <c r="G598" s="3" t="s">
        <v>593</v>
      </c>
      <c r="H598" t="s">
        <v>281</v>
      </c>
      <c r="I598" s="7">
        <v>49689</v>
      </c>
      <c r="J598" t="s">
        <v>20</v>
      </c>
      <c r="K598" s="12">
        <v>14400</v>
      </c>
      <c r="L598" t="s">
        <v>0</v>
      </c>
      <c r="M598" s="12">
        <v>254400</v>
      </c>
      <c r="N598" t="s">
        <v>1</v>
      </c>
      <c r="O598" s="12">
        <v>17.670000000000002</v>
      </c>
      <c r="P598" s="12">
        <v>49933.35</v>
      </c>
      <c r="Q598" s="12">
        <v>3.47</v>
      </c>
    </row>
    <row r="599" spans="1:17" x14ac:dyDescent="0.2">
      <c r="A599" t="s">
        <v>29</v>
      </c>
      <c r="B599" t="s">
        <v>30</v>
      </c>
      <c r="C599" s="5">
        <v>51056942.460000001</v>
      </c>
      <c r="D599" s="2">
        <v>44952</v>
      </c>
      <c r="E599" s="5">
        <f t="shared" si="12"/>
        <v>107219579.16600001</v>
      </c>
      <c r="F599" s="2">
        <v>44953</v>
      </c>
      <c r="G599" s="3" t="s">
        <v>550</v>
      </c>
      <c r="H599" t="s">
        <v>64</v>
      </c>
      <c r="I599" s="7">
        <v>49689</v>
      </c>
      <c r="J599" t="s">
        <v>20</v>
      </c>
      <c r="K599" s="12">
        <v>7500</v>
      </c>
      <c r="L599" t="s">
        <v>0</v>
      </c>
      <c r="M599" s="12">
        <v>129474</v>
      </c>
      <c r="N599" t="s">
        <v>1</v>
      </c>
      <c r="O599" s="12">
        <v>17.260000000000002</v>
      </c>
      <c r="P599" s="12">
        <v>25412.97</v>
      </c>
      <c r="Q599" s="12">
        <v>3.39</v>
      </c>
    </row>
    <row r="600" spans="1:17" x14ac:dyDescent="0.2">
      <c r="A600" t="s">
        <v>29</v>
      </c>
      <c r="B600" t="s">
        <v>30</v>
      </c>
      <c r="C600" s="5">
        <v>51056944.240000002</v>
      </c>
      <c r="D600" s="2">
        <v>44951</v>
      </c>
      <c r="E600" s="5">
        <f t="shared" si="12"/>
        <v>107219582.90400001</v>
      </c>
      <c r="F600" s="2">
        <v>44953</v>
      </c>
      <c r="G600" s="3" t="s">
        <v>323</v>
      </c>
      <c r="H600" t="s">
        <v>33</v>
      </c>
      <c r="I600" s="7">
        <v>49689</v>
      </c>
      <c r="J600" t="s">
        <v>20</v>
      </c>
      <c r="K600" s="12">
        <v>1920</v>
      </c>
      <c r="L600" t="s">
        <v>0</v>
      </c>
      <c r="M600" s="12">
        <v>33306.239999999998</v>
      </c>
      <c r="N600" t="s">
        <v>1</v>
      </c>
      <c r="O600" s="12">
        <v>17.350000000000001</v>
      </c>
      <c r="P600" s="12">
        <v>6537.3</v>
      </c>
      <c r="Q600" s="12">
        <v>3.4</v>
      </c>
    </row>
    <row r="601" spans="1:17" x14ac:dyDescent="0.2">
      <c r="A601" t="s">
        <v>29</v>
      </c>
      <c r="B601" t="s">
        <v>30</v>
      </c>
      <c r="C601" s="5">
        <v>51056945.329999998</v>
      </c>
      <c r="D601" s="2">
        <v>44943</v>
      </c>
      <c r="E601" s="5">
        <f t="shared" si="12"/>
        <v>107219585.193</v>
      </c>
      <c r="F601" s="2">
        <v>44953</v>
      </c>
      <c r="G601" s="3" t="s">
        <v>594</v>
      </c>
      <c r="H601" t="s">
        <v>282</v>
      </c>
      <c r="I601" s="7">
        <v>49731</v>
      </c>
      <c r="J601" t="s">
        <v>23</v>
      </c>
      <c r="K601" s="12">
        <v>6670</v>
      </c>
      <c r="L601" t="s">
        <v>0</v>
      </c>
      <c r="M601" s="12">
        <v>116324.8</v>
      </c>
      <c r="N601" t="s">
        <v>1</v>
      </c>
      <c r="O601" s="12">
        <v>17.440000000000001</v>
      </c>
      <c r="P601" s="12">
        <v>22832.06</v>
      </c>
      <c r="Q601" s="12">
        <v>3.42</v>
      </c>
    </row>
    <row r="602" spans="1:17" x14ac:dyDescent="0.2">
      <c r="A602" t="s">
        <v>29</v>
      </c>
      <c r="B602" t="s">
        <v>30</v>
      </c>
      <c r="C602" s="5">
        <v>51056945.960000001</v>
      </c>
      <c r="D602" s="2">
        <v>44938</v>
      </c>
      <c r="E602" s="5">
        <f t="shared" si="12"/>
        <v>107219586.516</v>
      </c>
      <c r="F602" s="2">
        <v>44953</v>
      </c>
      <c r="G602" s="3" t="s">
        <v>389</v>
      </c>
      <c r="H602" t="s">
        <v>98</v>
      </c>
      <c r="I602" s="7">
        <v>49738</v>
      </c>
      <c r="J602" t="s">
        <v>21</v>
      </c>
      <c r="K602" s="12">
        <v>9600</v>
      </c>
      <c r="L602" t="s">
        <v>0</v>
      </c>
      <c r="M602" s="12">
        <v>85825.600000000006</v>
      </c>
      <c r="N602" t="s">
        <v>1</v>
      </c>
      <c r="O602" s="12">
        <v>8.94</v>
      </c>
      <c r="P602" s="12">
        <v>16499.53</v>
      </c>
      <c r="Q602" s="12">
        <v>1.72</v>
      </c>
    </row>
    <row r="603" spans="1:17" x14ac:dyDescent="0.2">
      <c r="A603" t="s">
        <v>29</v>
      </c>
      <c r="B603" t="s">
        <v>30</v>
      </c>
      <c r="C603" s="5">
        <v>51056947.670000002</v>
      </c>
      <c r="D603" s="2">
        <v>44951</v>
      </c>
      <c r="E603" s="5">
        <f t="shared" si="12"/>
        <v>107219590.10700001</v>
      </c>
      <c r="F603" s="2">
        <v>44953</v>
      </c>
      <c r="G603" s="3" t="s">
        <v>383</v>
      </c>
      <c r="H603" t="s">
        <v>92</v>
      </c>
      <c r="I603" s="7">
        <v>49689</v>
      </c>
      <c r="J603" t="s">
        <v>20</v>
      </c>
      <c r="K603" s="12">
        <v>3710</v>
      </c>
      <c r="L603" t="s">
        <v>0</v>
      </c>
      <c r="M603" s="12">
        <v>67305.710000000006</v>
      </c>
      <c r="N603" t="s">
        <v>1</v>
      </c>
      <c r="O603" s="12">
        <v>18.14</v>
      </c>
      <c r="P603" s="12">
        <v>13210.67</v>
      </c>
      <c r="Q603" s="12">
        <v>3.56</v>
      </c>
    </row>
    <row r="604" spans="1:17" x14ac:dyDescent="0.2">
      <c r="A604" t="s">
        <v>29</v>
      </c>
      <c r="B604" t="s">
        <v>30</v>
      </c>
      <c r="C604" s="5">
        <v>51056948.350000001</v>
      </c>
      <c r="D604" s="2">
        <v>44952</v>
      </c>
      <c r="E604" s="5">
        <f t="shared" si="12"/>
        <v>107219591.53500001</v>
      </c>
      <c r="F604" s="2">
        <v>44953</v>
      </c>
      <c r="G604" s="3" t="s">
        <v>323</v>
      </c>
      <c r="H604" t="s">
        <v>33</v>
      </c>
      <c r="I604" s="7">
        <v>49689</v>
      </c>
      <c r="J604" t="s">
        <v>20</v>
      </c>
      <c r="K604" s="12">
        <v>1680</v>
      </c>
      <c r="L604" t="s">
        <v>0</v>
      </c>
      <c r="M604" s="12">
        <v>29820</v>
      </c>
      <c r="N604" t="s">
        <v>1</v>
      </c>
      <c r="O604" s="12">
        <v>17.75</v>
      </c>
      <c r="P604" s="12">
        <v>5853.03</v>
      </c>
      <c r="Q604" s="12">
        <v>3.48</v>
      </c>
    </row>
    <row r="605" spans="1:17" x14ac:dyDescent="0.2">
      <c r="A605" t="s">
        <v>29</v>
      </c>
      <c r="B605" t="s">
        <v>30</v>
      </c>
      <c r="C605" s="5">
        <v>51056949.689999998</v>
      </c>
      <c r="D605" s="2">
        <v>44952</v>
      </c>
      <c r="E605" s="5">
        <f t="shared" si="12"/>
        <v>107219594.34900001</v>
      </c>
      <c r="F605" s="2">
        <v>44953</v>
      </c>
      <c r="G605" s="3" t="s">
        <v>339</v>
      </c>
      <c r="H605" t="s">
        <v>49</v>
      </c>
      <c r="I605" s="7">
        <v>49731</v>
      </c>
      <c r="J605" t="s">
        <v>23</v>
      </c>
      <c r="K605" s="12">
        <v>3420</v>
      </c>
      <c r="L605" t="s">
        <v>0</v>
      </c>
      <c r="M605" s="12">
        <v>62909.87</v>
      </c>
      <c r="N605" t="s">
        <v>1</v>
      </c>
      <c r="O605" s="12">
        <v>18.39</v>
      </c>
      <c r="P605" s="12">
        <v>12347.86</v>
      </c>
      <c r="Q605" s="12">
        <v>3.61</v>
      </c>
    </row>
    <row r="606" spans="1:17" x14ac:dyDescent="0.2">
      <c r="A606" t="s">
        <v>29</v>
      </c>
      <c r="B606" t="s">
        <v>30</v>
      </c>
      <c r="C606" s="5">
        <v>51056949.890000001</v>
      </c>
      <c r="D606" s="2">
        <v>44952</v>
      </c>
      <c r="E606" s="5">
        <f t="shared" si="12"/>
        <v>107219594.76900001</v>
      </c>
      <c r="F606" s="2">
        <v>44953</v>
      </c>
      <c r="G606" s="3" t="s">
        <v>550</v>
      </c>
      <c r="H606" t="s">
        <v>64</v>
      </c>
      <c r="I606" s="7">
        <v>49689</v>
      </c>
      <c r="J606" t="s">
        <v>20</v>
      </c>
      <c r="K606" s="12">
        <v>15000</v>
      </c>
      <c r="L606" t="s">
        <v>0</v>
      </c>
      <c r="M606" s="12">
        <v>265635</v>
      </c>
      <c r="N606" t="s">
        <v>1</v>
      </c>
      <c r="O606" s="12">
        <v>17.71</v>
      </c>
      <c r="P606" s="12">
        <v>52138.45</v>
      </c>
      <c r="Q606" s="12">
        <v>3.48</v>
      </c>
    </row>
    <row r="607" spans="1:17" x14ac:dyDescent="0.2">
      <c r="A607" t="s">
        <v>29</v>
      </c>
      <c r="B607" t="s">
        <v>30</v>
      </c>
      <c r="C607" s="5">
        <v>51056950.07</v>
      </c>
      <c r="D607" s="2">
        <v>44952</v>
      </c>
      <c r="E607" s="5">
        <f t="shared" si="12"/>
        <v>107219595.147</v>
      </c>
      <c r="F607" s="2">
        <v>44953</v>
      </c>
      <c r="G607" s="3" t="s">
        <v>354</v>
      </c>
      <c r="H607" t="s">
        <v>63</v>
      </c>
      <c r="I607" s="7">
        <v>49689</v>
      </c>
      <c r="J607" t="s">
        <v>20</v>
      </c>
      <c r="K607" s="12">
        <v>9300</v>
      </c>
      <c r="L607" t="s">
        <v>0</v>
      </c>
      <c r="M607" s="12">
        <v>140733.79999999999</v>
      </c>
      <c r="N607" t="s">
        <v>1</v>
      </c>
      <c r="O607" s="12">
        <v>15.13</v>
      </c>
      <c r="P607" s="12">
        <v>27623.03</v>
      </c>
      <c r="Q607" s="12">
        <v>2.97</v>
      </c>
    </row>
    <row r="608" spans="1:17" x14ac:dyDescent="0.2">
      <c r="A608" t="s">
        <v>29</v>
      </c>
      <c r="B608" t="s">
        <v>30</v>
      </c>
      <c r="C608" s="5">
        <v>51056950.090000004</v>
      </c>
      <c r="D608" s="2">
        <v>44943</v>
      </c>
      <c r="E608" s="5">
        <f t="shared" si="12"/>
        <v>107219595.18900001</v>
      </c>
      <c r="F608" s="2">
        <v>44953</v>
      </c>
      <c r="G608" s="3" t="s">
        <v>595</v>
      </c>
      <c r="H608" t="s">
        <v>283</v>
      </c>
      <c r="I608" s="7">
        <v>49689</v>
      </c>
      <c r="J608" t="s">
        <v>20</v>
      </c>
      <c r="K608" s="12">
        <v>2400</v>
      </c>
      <c r="L608" t="s">
        <v>0</v>
      </c>
      <c r="M608" s="12">
        <v>32743.200000000001</v>
      </c>
      <c r="N608" t="s">
        <v>1</v>
      </c>
      <c r="O608" s="12">
        <v>13.64</v>
      </c>
      <c r="P608" s="12">
        <v>6414.11</v>
      </c>
      <c r="Q608" s="12">
        <v>2.67</v>
      </c>
    </row>
    <row r="609" spans="1:17" x14ac:dyDescent="0.2">
      <c r="A609" t="s">
        <v>29</v>
      </c>
      <c r="B609" t="s">
        <v>30</v>
      </c>
      <c r="C609" s="5">
        <v>51056950.130000003</v>
      </c>
      <c r="D609" s="2">
        <v>44952</v>
      </c>
      <c r="E609" s="5">
        <f t="shared" si="12"/>
        <v>107219595.27300002</v>
      </c>
      <c r="F609" s="2">
        <v>44953</v>
      </c>
      <c r="G609" s="3" t="s">
        <v>339</v>
      </c>
      <c r="H609" t="s">
        <v>49</v>
      </c>
      <c r="I609" s="7">
        <v>49689</v>
      </c>
      <c r="J609" t="s">
        <v>20</v>
      </c>
      <c r="K609" s="12">
        <v>7080</v>
      </c>
      <c r="L609" t="s">
        <v>0</v>
      </c>
      <c r="M609" s="12">
        <v>128160.74</v>
      </c>
      <c r="N609" t="s">
        <v>1</v>
      </c>
      <c r="O609" s="12">
        <v>18.100000000000001</v>
      </c>
      <c r="P609" s="12">
        <v>25155.21</v>
      </c>
      <c r="Q609" s="12">
        <v>3.55</v>
      </c>
    </row>
    <row r="610" spans="1:17" x14ac:dyDescent="0.2">
      <c r="A610" t="s">
        <v>29</v>
      </c>
      <c r="B610" t="s">
        <v>30</v>
      </c>
      <c r="C610" s="5">
        <v>51056950.200000003</v>
      </c>
      <c r="D610" s="2">
        <v>44951</v>
      </c>
      <c r="E610" s="5">
        <f t="shared" si="12"/>
        <v>107219595.42000002</v>
      </c>
      <c r="F610" s="2">
        <v>44953</v>
      </c>
      <c r="G610" s="3" t="s">
        <v>420</v>
      </c>
      <c r="H610" t="s">
        <v>125</v>
      </c>
      <c r="I610" s="7">
        <v>49689</v>
      </c>
      <c r="J610" t="s">
        <v>20</v>
      </c>
      <c r="K610" s="12">
        <v>6000</v>
      </c>
      <c r="L610" t="s">
        <v>0</v>
      </c>
      <c r="M610" s="12">
        <v>104500</v>
      </c>
      <c r="N610" t="s">
        <v>1</v>
      </c>
      <c r="O610" s="12">
        <v>17.420000000000002</v>
      </c>
      <c r="P610" s="12">
        <v>20511.11</v>
      </c>
      <c r="Q610" s="12">
        <v>3.42</v>
      </c>
    </row>
    <row r="611" spans="1:17" x14ac:dyDescent="0.2">
      <c r="A611" t="s">
        <v>29</v>
      </c>
      <c r="B611" t="s">
        <v>30</v>
      </c>
      <c r="C611" s="5">
        <v>51056950.43</v>
      </c>
      <c r="D611" s="2">
        <v>44951</v>
      </c>
      <c r="E611" s="5">
        <f t="shared" si="12"/>
        <v>107219595.903</v>
      </c>
      <c r="F611" s="2">
        <v>44953</v>
      </c>
      <c r="G611" s="3" t="s">
        <v>420</v>
      </c>
      <c r="H611" t="s">
        <v>125</v>
      </c>
      <c r="I611" s="7">
        <v>49689</v>
      </c>
      <c r="J611" t="s">
        <v>20</v>
      </c>
      <c r="K611" s="12">
        <v>6000</v>
      </c>
      <c r="L611" t="s">
        <v>0</v>
      </c>
      <c r="M611" s="12">
        <v>105000</v>
      </c>
      <c r="N611" t="s">
        <v>1</v>
      </c>
      <c r="O611" s="12">
        <v>17.5</v>
      </c>
      <c r="P611" s="12">
        <v>20609.25</v>
      </c>
      <c r="Q611" s="12">
        <v>3.43</v>
      </c>
    </row>
    <row r="612" spans="1:17" x14ac:dyDescent="0.2">
      <c r="A612" t="s">
        <v>29</v>
      </c>
      <c r="B612" t="s">
        <v>30</v>
      </c>
      <c r="C612" s="5">
        <v>51056950.520000003</v>
      </c>
      <c r="D612" s="2">
        <v>44951</v>
      </c>
      <c r="E612" s="5">
        <f t="shared" si="12"/>
        <v>107219596.09200001</v>
      </c>
      <c r="F612" s="2">
        <v>44953</v>
      </c>
      <c r="G612" s="3" t="s">
        <v>420</v>
      </c>
      <c r="H612" t="s">
        <v>125</v>
      </c>
      <c r="I612" s="7">
        <v>49689</v>
      </c>
      <c r="J612" t="s">
        <v>20</v>
      </c>
      <c r="K612" s="12">
        <v>6000</v>
      </c>
      <c r="L612" t="s">
        <v>0</v>
      </c>
      <c r="M612" s="12">
        <v>105000</v>
      </c>
      <c r="N612" t="s">
        <v>1</v>
      </c>
      <c r="O612" s="12">
        <v>17.5</v>
      </c>
      <c r="P612" s="12">
        <v>20609.25</v>
      </c>
      <c r="Q612" s="12">
        <v>3.43</v>
      </c>
    </row>
    <row r="613" spans="1:17" x14ac:dyDescent="0.2">
      <c r="A613" t="s">
        <v>29</v>
      </c>
      <c r="B613" t="s">
        <v>30</v>
      </c>
      <c r="C613" s="5">
        <v>51056950.810000002</v>
      </c>
      <c r="D613" s="2">
        <v>44951</v>
      </c>
      <c r="E613" s="5">
        <f t="shared" si="12"/>
        <v>107219596.70100001</v>
      </c>
      <c r="F613" s="2">
        <v>44953</v>
      </c>
      <c r="G613" s="3" t="s">
        <v>321</v>
      </c>
      <c r="H613" t="s">
        <v>31</v>
      </c>
      <c r="I613" s="7">
        <v>49689</v>
      </c>
      <c r="J613" t="s">
        <v>20</v>
      </c>
      <c r="K613" s="12">
        <v>1800</v>
      </c>
      <c r="L613" t="s">
        <v>0</v>
      </c>
      <c r="M613" s="12">
        <v>31984.2</v>
      </c>
      <c r="N613" t="s">
        <v>1</v>
      </c>
      <c r="O613" s="12">
        <v>17.77</v>
      </c>
      <c r="P613" s="12">
        <v>6277.81</v>
      </c>
      <c r="Q613" s="12">
        <v>3.49</v>
      </c>
    </row>
    <row r="614" spans="1:17" x14ac:dyDescent="0.2">
      <c r="A614" t="s">
        <v>29</v>
      </c>
      <c r="B614" t="s">
        <v>30</v>
      </c>
      <c r="C614" s="5">
        <v>51056950.850000001</v>
      </c>
      <c r="D614" s="2">
        <v>44951</v>
      </c>
      <c r="E614" s="5">
        <f t="shared" si="12"/>
        <v>107219596.78500001</v>
      </c>
      <c r="F614" s="2">
        <v>44953</v>
      </c>
      <c r="G614" s="3" t="s">
        <v>321</v>
      </c>
      <c r="H614" t="s">
        <v>31</v>
      </c>
      <c r="I614" s="7">
        <v>49689</v>
      </c>
      <c r="J614" t="s">
        <v>20</v>
      </c>
      <c r="K614" s="12">
        <v>19200</v>
      </c>
      <c r="L614" t="s">
        <v>0</v>
      </c>
      <c r="M614" s="12">
        <v>341164.79999999999</v>
      </c>
      <c r="N614" t="s">
        <v>1</v>
      </c>
      <c r="O614" s="12">
        <v>17.77</v>
      </c>
      <c r="P614" s="12">
        <v>66963.34</v>
      </c>
      <c r="Q614" s="12">
        <v>3.49</v>
      </c>
    </row>
    <row r="615" spans="1:17" x14ac:dyDescent="0.2">
      <c r="A615" t="s">
        <v>29</v>
      </c>
      <c r="B615" t="s">
        <v>30</v>
      </c>
      <c r="C615" s="5">
        <v>51056950.899999999</v>
      </c>
      <c r="D615" s="2">
        <v>44952</v>
      </c>
      <c r="E615" s="5">
        <f t="shared" si="12"/>
        <v>107219596.89</v>
      </c>
      <c r="F615" s="2">
        <v>44953</v>
      </c>
      <c r="G615" s="3" t="s">
        <v>351</v>
      </c>
      <c r="H615" t="s">
        <v>60</v>
      </c>
      <c r="I615" s="7">
        <v>49689</v>
      </c>
      <c r="J615" t="s">
        <v>20</v>
      </c>
      <c r="K615" s="12">
        <v>6000</v>
      </c>
      <c r="L615" t="s">
        <v>0</v>
      </c>
      <c r="M615" s="12">
        <v>92041</v>
      </c>
      <c r="N615" t="s">
        <v>1</v>
      </c>
      <c r="O615" s="12">
        <v>15.34</v>
      </c>
      <c r="P615" s="12">
        <v>18065.669999999998</v>
      </c>
      <c r="Q615" s="12">
        <v>3.01</v>
      </c>
    </row>
    <row r="616" spans="1:17" x14ac:dyDescent="0.2">
      <c r="A616" t="s">
        <v>29</v>
      </c>
      <c r="B616" t="s">
        <v>30</v>
      </c>
      <c r="C616" s="5">
        <v>51056951.210000001</v>
      </c>
      <c r="D616" s="2">
        <v>44952</v>
      </c>
      <c r="E616" s="5">
        <f t="shared" si="12"/>
        <v>107219597.54100001</v>
      </c>
      <c r="F616" s="2">
        <v>44953</v>
      </c>
      <c r="G616" s="3" t="s">
        <v>323</v>
      </c>
      <c r="H616" t="s">
        <v>33</v>
      </c>
      <c r="I616" s="7">
        <v>49689</v>
      </c>
      <c r="J616" t="s">
        <v>20</v>
      </c>
      <c r="K616" s="12">
        <v>6600</v>
      </c>
      <c r="L616" t="s">
        <v>0</v>
      </c>
      <c r="M616" s="12">
        <v>98963.7</v>
      </c>
      <c r="N616" t="s">
        <v>1</v>
      </c>
      <c r="O616" s="12">
        <v>14.99</v>
      </c>
      <c r="P616" s="12">
        <v>19418.62</v>
      </c>
      <c r="Q616" s="12">
        <v>2.94</v>
      </c>
    </row>
    <row r="617" spans="1:17" x14ac:dyDescent="0.2">
      <c r="A617" t="s">
        <v>29</v>
      </c>
      <c r="B617" t="s">
        <v>30</v>
      </c>
      <c r="C617" s="5">
        <v>51056951.289999999</v>
      </c>
      <c r="D617" s="2">
        <v>44951</v>
      </c>
      <c r="E617" s="5">
        <f t="shared" si="12"/>
        <v>107219597.70900001</v>
      </c>
      <c r="F617" s="2">
        <v>44953</v>
      </c>
      <c r="G617" s="3" t="s">
        <v>472</v>
      </c>
      <c r="H617" t="s">
        <v>175</v>
      </c>
      <c r="I617" s="7">
        <v>49689</v>
      </c>
      <c r="J617" t="s">
        <v>20</v>
      </c>
      <c r="K617" s="12">
        <v>18000</v>
      </c>
      <c r="L617" t="s">
        <v>0</v>
      </c>
      <c r="M617" s="12">
        <v>317400</v>
      </c>
      <c r="N617" t="s">
        <v>1</v>
      </c>
      <c r="O617" s="12">
        <v>17.63</v>
      </c>
      <c r="P617" s="12">
        <v>62287.06</v>
      </c>
      <c r="Q617" s="12">
        <v>3.46</v>
      </c>
    </row>
    <row r="618" spans="1:17" x14ac:dyDescent="0.2">
      <c r="A618" t="s">
        <v>29</v>
      </c>
      <c r="B618" t="s">
        <v>30</v>
      </c>
      <c r="C618" s="5">
        <v>51056952.130000003</v>
      </c>
      <c r="D618" s="2">
        <v>44951</v>
      </c>
      <c r="E618" s="5">
        <f t="shared" si="12"/>
        <v>107219599.473</v>
      </c>
      <c r="F618" s="2">
        <v>44953</v>
      </c>
      <c r="G618" s="3" t="s">
        <v>420</v>
      </c>
      <c r="H618" t="s">
        <v>125</v>
      </c>
      <c r="I618" s="7">
        <v>49689</v>
      </c>
      <c r="J618" t="s">
        <v>20</v>
      </c>
      <c r="K618" s="12">
        <v>15000</v>
      </c>
      <c r="L618" t="s">
        <v>0</v>
      </c>
      <c r="M618" s="12">
        <v>262250</v>
      </c>
      <c r="N618" t="s">
        <v>1</v>
      </c>
      <c r="O618" s="12">
        <v>17.48</v>
      </c>
      <c r="P618" s="12">
        <v>51474.05</v>
      </c>
      <c r="Q618" s="12">
        <v>3.43</v>
      </c>
    </row>
    <row r="619" spans="1:17" x14ac:dyDescent="0.2">
      <c r="A619" t="s">
        <v>29</v>
      </c>
      <c r="B619" t="s">
        <v>30</v>
      </c>
      <c r="C619" s="5">
        <v>51056952.170000002</v>
      </c>
      <c r="D619" s="2">
        <v>44952</v>
      </c>
      <c r="E619" s="5">
        <f t="shared" ref="E619:E682" si="13">C619*2.1</f>
        <v>107219599.55700001</v>
      </c>
      <c r="F619" s="2">
        <v>44953</v>
      </c>
      <c r="G619" s="3" t="s">
        <v>420</v>
      </c>
      <c r="H619" t="s">
        <v>125</v>
      </c>
      <c r="I619" s="7">
        <v>49689</v>
      </c>
      <c r="J619" t="s">
        <v>20</v>
      </c>
      <c r="K619" s="12">
        <v>18000</v>
      </c>
      <c r="L619" t="s">
        <v>0</v>
      </c>
      <c r="M619" s="12">
        <v>321000</v>
      </c>
      <c r="N619" t="s">
        <v>1</v>
      </c>
      <c r="O619" s="12">
        <v>17.829999999999998</v>
      </c>
      <c r="P619" s="12">
        <v>63005.42</v>
      </c>
      <c r="Q619" s="12">
        <v>3.5</v>
      </c>
    </row>
    <row r="620" spans="1:17" x14ac:dyDescent="0.2">
      <c r="A620" t="s">
        <v>29</v>
      </c>
      <c r="B620" t="s">
        <v>30</v>
      </c>
      <c r="C620" s="5">
        <v>51056953.189999998</v>
      </c>
      <c r="D620" s="2">
        <v>44951</v>
      </c>
      <c r="E620" s="5">
        <f t="shared" si="13"/>
        <v>107219601.699</v>
      </c>
      <c r="F620" s="2">
        <v>44953</v>
      </c>
      <c r="G620" s="3" t="s">
        <v>596</v>
      </c>
      <c r="H620" t="s">
        <v>57</v>
      </c>
      <c r="I620" s="7">
        <v>49689</v>
      </c>
      <c r="J620" t="s">
        <v>20</v>
      </c>
      <c r="K620" s="12">
        <v>30000</v>
      </c>
      <c r="L620" t="s">
        <v>0</v>
      </c>
      <c r="M620" s="12">
        <v>510000</v>
      </c>
      <c r="N620" t="s">
        <v>1</v>
      </c>
      <c r="O620" s="12">
        <v>17</v>
      </c>
      <c r="P620" s="12">
        <v>100102.06</v>
      </c>
      <c r="Q620" s="12">
        <v>3.34</v>
      </c>
    </row>
    <row r="621" spans="1:17" x14ac:dyDescent="0.2">
      <c r="A621" t="s">
        <v>29</v>
      </c>
      <c r="B621" t="s">
        <v>30</v>
      </c>
      <c r="C621" s="5">
        <v>51056953.43</v>
      </c>
      <c r="D621" s="2">
        <v>44953</v>
      </c>
      <c r="E621" s="5">
        <f t="shared" si="13"/>
        <v>107219602.20300001</v>
      </c>
      <c r="F621" s="2">
        <v>44953</v>
      </c>
      <c r="G621" s="3" t="s">
        <v>351</v>
      </c>
      <c r="H621" t="s">
        <v>60</v>
      </c>
      <c r="I621" s="7">
        <v>49689</v>
      </c>
      <c r="J621" t="s">
        <v>20</v>
      </c>
      <c r="K621" s="12">
        <v>13500</v>
      </c>
      <c r="L621" t="s">
        <v>0</v>
      </c>
      <c r="M621" s="12">
        <v>186059.25</v>
      </c>
      <c r="N621" t="s">
        <v>1</v>
      </c>
      <c r="O621" s="12">
        <v>13.78</v>
      </c>
      <c r="P621" s="12">
        <v>36519.440000000002</v>
      </c>
      <c r="Q621" s="12">
        <v>2.71</v>
      </c>
    </row>
    <row r="622" spans="1:17" x14ac:dyDescent="0.2">
      <c r="A622" t="s">
        <v>29</v>
      </c>
      <c r="B622" t="s">
        <v>30</v>
      </c>
      <c r="C622" s="5">
        <v>51056953.469999999</v>
      </c>
      <c r="D622" s="2">
        <v>44953</v>
      </c>
      <c r="E622" s="5">
        <f t="shared" si="13"/>
        <v>107219602.287</v>
      </c>
      <c r="F622" s="2">
        <v>44953</v>
      </c>
      <c r="G622" s="3" t="s">
        <v>597</v>
      </c>
      <c r="H622" t="s">
        <v>284</v>
      </c>
      <c r="I622" s="7">
        <v>49738</v>
      </c>
      <c r="J622" t="s">
        <v>21</v>
      </c>
      <c r="K622" s="12">
        <v>10800</v>
      </c>
      <c r="L622" t="s">
        <v>0</v>
      </c>
      <c r="M622" s="12">
        <v>99207</v>
      </c>
      <c r="N622" t="s">
        <v>1</v>
      </c>
      <c r="O622" s="12">
        <v>9.19</v>
      </c>
      <c r="P622" s="12">
        <v>19472.21</v>
      </c>
      <c r="Q622" s="12">
        <v>1.8</v>
      </c>
    </row>
    <row r="623" spans="1:17" x14ac:dyDescent="0.2">
      <c r="A623" t="s">
        <v>29</v>
      </c>
      <c r="B623" t="s">
        <v>30</v>
      </c>
      <c r="C623" s="5">
        <v>51056954.149999999</v>
      </c>
      <c r="D623" s="2">
        <v>44952</v>
      </c>
      <c r="E623" s="5">
        <f t="shared" si="13"/>
        <v>107219603.715</v>
      </c>
      <c r="F623" s="2">
        <v>44953</v>
      </c>
      <c r="G623" s="3" t="s">
        <v>446</v>
      </c>
      <c r="H623" t="s">
        <v>150</v>
      </c>
      <c r="I623" s="7">
        <v>49689</v>
      </c>
      <c r="J623" t="s">
        <v>20</v>
      </c>
      <c r="K623" s="12">
        <v>20400</v>
      </c>
      <c r="L623" t="s">
        <v>0</v>
      </c>
      <c r="M623" s="12">
        <v>321300</v>
      </c>
      <c r="N623" t="s">
        <v>1</v>
      </c>
      <c r="O623" s="12">
        <v>15.75</v>
      </c>
      <c r="P623" s="12">
        <v>63064.3</v>
      </c>
      <c r="Q623" s="12">
        <v>3.09</v>
      </c>
    </row>
    <row r="624" spans="1:17" x14ac:dyDescent="0.2">
      <c r="A624" t="s">
        <v>29</v>
      </c>
      <c r="B624" t="s">
        <v>30</v>
      </c>
      <c r="C624" s="5">
        <v>51056954.259999998</v>
      </c>
      <c r="D624" s="2">
        <v>44953</v>
      </c>
      <c r="E624" s="5">
        <f t="shared" si="13"/>
        <v>107219603.94599999</v>
      </c>
      <c r="F624" s="2">
        <v>44953</v>
      </c>
      <c r="G624" s="3" t="s">
        <v>598</v>
      </c>
      <c r="H624" t="s">
        <v>285</v>
      </c>
      <c r="I624" s="7">
        <v>49689</v>
      </c>
      <c r="J624" t="s">
        <v>20</v>
      </c>
      <c r="K624" s="12">
        <v>2620.3000000000002</v>
      </c>
      <c r="L624" t="s">
        <v>0</v>
      </c>
      <c r="M624" s="12">
        <v>47841.440000000002</v>
      </c>
      <c r="N624" t="s">
        <v>1</v>
      </c>
      <c r="O624" s="12">
        <v>18.260000000000002</v>
      </c>
      <c r="P624" s="12">
        <v>9390.25</v>
      </c>
      <c r="Q624" s="12">
        <v>3.58</v>
      </c>
    </row>
    <row r="625" spans="1:17" x14ac:dyDescent="0.2">
      <c r="A625" t="s">
        <v>29</v>
      </c>
      <c r="B625" t="s">
        <v>30</v>
      </c>
      <c r="C625" s="5">
        <v>51056954.289999999</v>
      </c>
      <c r="D625" s="2">
        <v>44951</v>
      </c>
      <c r="E625" s="5">
        <f t="shared" si="13"/>
        <v>107219604.009</v>
      </c>
      <c r="F625" s="2">
        <v>44953</v>
      </c>
      <c r="G625" s="3" t="s">
        <v>520</v>
      </c>
      <c r="H625" t="s">
        <v>216</v>
      </c>
      <c r="I625" s="7">
        <v>49689</v>
      </c>
      <c r="J625" t="s">
        <v>20</v>
      </c>
      <c r="K625" s="12">
        <v>7510</v>
      </c>
      <c r="L625" t="s">
        <v>0</v>
      </c>
      <c r="M625" s="12">
        <v>129672.67</v>
      </c>
      <c r="N625" t="s">
        <v>1</v>
      </c>
      <c r="O625" s="12">
        <v>17.27</v>
      </c>
      <c r="P625" s="12">
        <v>25451.96</v>
      </c>
      <c r="Q625" s="12">
        <v>3.39</v>
      </c>
    </row>
    <row r="626" spans="1:17" x14ac:dyDescent="0.2">
      <c r="A626" t="s">
        <v>29</v>
      </c>
      <c r="B626" t="s">
        <v>30</v>
      </c>
      <c r="C626" s="5">
        <v>51056955.170000002</v>
      </c>
      <c r="D626" s="2">
        <v>44953</v>
      </c>
      <c r="E626" s="5">
        <f t="shared" si="13"/>
        <v>107219605.85700001</v>
      </c>
      <c r="F626" s="2">
        <v>44953</v>
      </c>
      <c r="G626" s="3" t="s">
        <v>599</v>
      </c>
      <c r="H626" t="s">
        <v>286</v>
      </c>
      <c r="I626" s="7">
        <v>49738</v>
      </c>
      <c r="J626" t="s">
        <v>21</v>
      </c>
      <c r="K626" s="12">
        <v>4800</v>
      </c>
      <c r="L626" t="s">
        <v>0</v>
      </c>
      <c r="M626" s="12">
        <v>52792</v>
      </c>
      <c r="N626" t="s">
        <v>1</v>
      </c>
      <c r="O626" s="12">
        <v>11</v>
      </c>
      <c r="P626" s="12">
        <v>10363.51</v>
      </c>
      <c r="Q626" s="12">
        <v>2.16</v>
      </c>
    </row>
    <row r="627" spans="1:17" x14ac:dyDescent="0.2">
      <c r="A627" t="s">
        <v>29</v>
      </c>
      <c r="B627" t="s">
        <v>30</v>
      </c>
      <c r="C627" s="5">
        <v>51056958.630000003</v>
      </c>
      <c r="D627" s="2">
        <v>44952</v>
      </c>
      <c r="E627" s="5">
        <f t="shared" si="13"/>
        <v>107219613.12300001</v>
      </c>
      <c r="F627" s="2">
        <v>44953</v>
      </c>
      <c r="G627" s="3" t="s">
        <v>593</v>
      </c>
      <c r="H627" t="s">
        <v>281</v>
      </c>
      <c r="I627" s="7">
        <v>49689</v>
      </c>
      <c r="J627" t="s">
        <v>20</v>
      </c>
      <c r="K627" s="12">
        <v>2530</v>
      </c>
      <c r="L627" t="s">
        <v>0</v>
      </c>
      <c r="M627" s="12">
        <v>44696.67</v>
      </c>
      <c r="N627" t="s">
        <v>1</v>
      </c>
      <c r="O627" s="12">
        <v>17.670000000000002</v>
      </c>
      <c r="P627" s="12">
        <v>8773</v>
      </c>
      <c r="Q627" s="12">
        <v>3.47</v>
      </c>
    </row>
    <row r="628" spans="1:17" x14ac:dyDescent="0.2">
      <c r="A628" t="s">
        <v>29</v>
      </c>
      <c r="B628" t="s">
        <v>30</v>
      </c>
      <c r="C628" s="5">
        <v>51056958.689999998</v>
      </c>
      <c r="D628" s="2">
        <v>44950</v>
      </c>
      <c r="E628" s="5">
        <f t="shared" si="13"/>
        <v>107219613.249</v>
      </c>
      <c r="F628" s="2">
        <v>44953</v>
      </c>
      <c r="G628" s="3" t="s">
        <v>587</v>
      </c>
      <c r="H628" t="s">
        <v>275</v>
      </c>
      <c r="I628" s="7">
        <v>49689</v>
      </c>
      <c r="J628" t="s">
        <v>20</v>
      </c>
      <c r="K628" s="12">
        <v>3956.8</v>
      </c>
      <c r="L628" t="s">
        <v>0</v>
      </c>
      <c r="M628" s="12">
        <v>64952.06</v>
      </c>
      <c r="N628" t="s">
        <v>1</v>
      </c>
      <c r="O628" s="12">
        <v>16.420000000000002</v>
      </c>
      <c r="P628" s="12">
        <v>12748.7</v>
      </c>
      <c r="Q628" s="12">
        <v>3.22</v>
      </c>
    </row>
    <row r="629" spans="1:17" x14ac:dyDescent="0.2">
      <c r="A629" t="s">
        <v>29</v>
      </c>
      <c r="B629" t="s">
        <v>30</v>
      </c>
      <c r="C629" s="5">
        <v>51056958.980000004</v>
      </c>
      <c r="D629" s="2">
        <v>44953</v>
      </c>
      <c r="E629" s="5">
        <f t="shared" si="13"/>
        <v>107219613.85800001</v>
      </c>
      <c r="F629" s="2">
        <v>44953</v>
      </c>
      <c r="G629" s="3" t="s">
        <v>600</v>
      </c>
      <c r="H629" t="s">
        <v>287</v>
      </c>
      <c r="I629" s="7">
        <v>49689</v>
      </c>
      <c r="J629" t="s">
        <v>20</v>
      </c>
      <c r="K629" s="12">
        <v>2740</v>
      </c>
      <c r="L629" t="s">
        <v>0</v>
      </c>
      <c r="M629" s="12">
        <v>50333.8</v>
      </c>
      <c r="N629" t="s">
        <v>1</v>
      </c>
      <c r="O629" s="12">
        <v>18.37</v>
      </c>
      <c r="P629" s="12">
        <v>9879.4500000000007</v>
      </c>
      <c r="Q629" s="12">
        <v>3.61</v>
      </c>
    </row>
    <row r="630" spans="1:17" x14ac:dyDescent="0.2">
      <c r="A630" t="s">
        <v>29</v>
      </c>
      <c r="B630" t="s">
        <v>30</v>
      </c>
      <c r="C630" s="5">
        <v>51056958.990000002</v>
      </c>
      <c r="D630" s="2">
        <v>44953</v>
      </c>
      <c r="E630" s="5">
        <f t="shared" si="13"/>
        <v>107219613.87900001</v>
      </c>
      <c r="F630" s="2">
        <v>44953</v>
      </c>
      <c r="G630" s="3" t="s">
        <v>601</v>
      </c>
      <c r="H630" t="s">
        <v>288</v>
      </c>
      <c r="I630" s="7">
        <v>49689</v>
      </c>
      <c r="J630" t="s">
        <v>20</v>
      </c>
      <c r="K630" s="12">
        <v>3501</v>
      </c>
      <c r="L630" t="s">
        <v>0</v>
      </c>
      <c r="M630" s="12">
        <v>65153.61</v>
      </c>
      <c r="N630" t="s">
        <v>1</v>
      </c>
      <c r="O630" s="12">
        <v>18.61</v>
      </c>
      <c r="P630" s="12">
        <v>12788.26</v>
      </c>
      <c r="Q630" s="12">
        <v>3.65</v>
      </c>
    </row>
    <row r="631" spans="1:17" x14ac:dyDescent="0.2">
      <c r="A631" t="s">
        <v>29</v>
      </c>
      <c r="B631" t="s">
        <v>30</v>
      </c>
      <c r="C631" s="5">
        <v>51056959.410000004</v>
      </c>
      <c r="D631" s="2">
        <v>44949</v>
      </c>
      <c r="E631" s="5">
        <f t="shared" si="13"/>
        <v>107219614.76100001</v>
      </c>
      <c r="F631" s="2">
        <v>44953</v>
      </c>
      <c r="G631" s="3" t="s">
        <v>602</v>
      </c>
      <c r="H631" t="s">
        <v>289</v>
      </c>
      <c r="I631" s="7">
        <v>49689</v>
      </c>
      <c r="J631" t="s">
        <v>20</v>
      </c>
      <c r="K631" s="12">
        <v>30000</v>
      </c>
      <c r="L631" t="s">
        <v>0</v>
      </c>
      <c r="M631" s="12">
        <v>562815</v>
      </c>
      <c r="N631" t="s">
        <v>1</v>
      </c>
      <c r="O631" s="12">
        <v>18.760000000000002</v>
      </c>
      <c r="P631" s="12">
        <v>110468.52</v>
      </c>
      <c r="Q631" s="12">
        <v>3.68</v>
      </c>
    </row>
    <row r="632" spans="1:17" x14ac:dyDescent="0.2">
      <c r="A632" t="s">
        <v>29</v>
      </c>
      <c r="B632" t="s">
        <v>30</v>
      </c>
      <c r="C632" s="5">
        <v>51056959.420000002</v>
      </c>
      <c r="D632" s="2">
        <v>44951</v>
      </c>
      <c r="E632" s="5">
        <f t="shared" si="13"/>
        <v>107219614.78200001</v>
      </c>
      <c r="F632" s="2">
        <v>44953</v>
      </c>
      <c r="G632" s="3" t="s">
        <v>325</v>
      </c>
      <c r="H632" t="s">
        <v>35</v>
      </c>
      <c r="I632" s="7">
        <v>49731</v>
      </c>
      <c r="J632" t="s">
        <v>23</v>
      </c>
      <c r="K632" s="12">
        <v>3520</v>
      </c>
      <c r="L632" t="s">
        <v>0</v>
      </c>
      <c r="M632" s="12">
        <v>62186.66</v>
      </c>
      <c r="N632" t="s">
        <v>1</v>
      </c>
      <c r="O632" s="12">
        <v>17.670000000000002</v>
      </c>
      <c r="P632" s="12">
        <v>12205.91</v>
      </c>
      <c r="Q632" s="12">
        <v>3.47</v>
      </c>
    </row>
    <row r="633" spans="1:17" x14ac:dyDescent="0.2">
      <c r="A633" t="s">
        <v>29</v>
      </c>
      <c r="B633" t="s">
        <v>30</v>
      </c>
      <c r="C633" s="5">
        <v>51056959.5</v>
      </c>
      <c r="D633" s="2">
        <v>44952</v>
      </c>
      <c r="E633" s="5">
        <f t="shared" si="13"/>
        <v>107219614.95</v>
      </c>
      <c r="F633" s="2">
        <v>44953</v>
      </c>
      <c r="G633" s="3" t="s">
        <v>603</v>
      </c>
      <c r="H633" t="s">
        <v>290</v>
      </c>
      <c r="I633" s="7">
        <v>49689</v>
      </c>
      <c r="J633" t="s">
        <v>20</v>
      </c>
      <c r="K633" s="12">
        <v>3018.6</v>
      </c>
      <c r="L633" t="s">
        <v>0</v>
      </c>
      <c r="M633" s="12">
        <v>53217.919999999998</v>
      </c>
      <c r="N633" t="s">
        <v>1</v>
      </c>
      <c r="O633" s="12">
        <v>17.63</v>
      </c>
      <c r="P633" s="12">
        <v>10445.540000000001</v>
      </c>
      <c r="Q633" s="12">
        <v>3.46</v>
      </c>
    </row>
    <row r="634" spans="1:17" x14ac:dyDescent="0.2">
      <c r="A634" t="s">
        <v>29</v>
      </c>
      <c r="B634" t="s">
        <v>30</v>
      </c>
      <c r="C634" s="5">
        <v>51056959.740000002</v>
      </c>
      <c r="D634" s="2">
        <v>44952</v>
      </c>
      <c r="E634" s="5">
        <f t="shared" si="13"/>
        <v>107219615.45400001</v>
      </c>
      <c r="F634" s="2">
        <v>44953</v>
      </c>
      <c r="G634" s="3" t="s">
        <v>599</v>
      </c>
      <c r="H634" t="s">
        <v>286</v>
      </c>
      <c r="I634" s="7">
        <v>49689</v>
      </c>
      <c r="J634" t="s">
        <v>20</v>
      </c>
      <c r="K634" s="12">
        <v>79148.5</v>
      </c>
      <c r="L634" t="s">
        <v>0</v>
      </c>
      <c r="M634" s="12">
        <v>1467618.98</v>
      </c>
      <c r="N634" t="s">
        <v>1</v>
      </c>
      <c r="O634" s="12">
        <v>18.54</v>
      </c>
      <c r="P634" s="12">
        <v>288062.14</v>
      </c>
      <c r="Q634" s="12">
        <v>3.64</v>
      </c>
    </row>
    <row r="635" spans="1:17" x14ac:dyDescent="0.2">
      <c r="A635" t="s">
        <v>29</v>
      </c>
      <c r="B635" t="s">
        <v>30</v>
      </c>
      <c r="C635" s="5">
        <v>51056959.770000003</v>
      </c>
      <c r="D635" s="2">
        <v>44952</v>
      </c>
      <c r="E635" s="5">
        <f t="shared" si="13"/>
        <v>107219615.517</v>
      </c>
      <c r="F635" s="2">
        <v>44953</v>
      </c>
      <c r="G635" s="3" t="s">
        <v>604</v>
      </c>
      <c r="H635" t="s">
        <v>291</v>
      </c>
      <c r="I635" s="7">
        <v>49689</v>
      </c>
      <c r="J635" t="s">
        <v>20</v>
      </c>
      <c r="K635" s="12">
        <v>2674.5</v>
      </c>
      <c r="L635" t="s">
        <v>0</v>
      </c>
      <c r="M635" s="12">
        <v>45538.71</v>
      </c>
      <c r="N635" t="s">
        <v>1</v>
      </c>
      <c r="O635" s="12">
        <v>17.03</v>
      </c>
      <c r="P635" s="12">
        <v>8938.27</v>
      </c>
      <c r="Q635" s="12">
        <v>3.34</v>
      </c>
    </row>
    <row r="636" spans="1:17" x14ac:dyDescent="0.2">
      <c r="A636" t="s">
        <v>29</v>
      </c>
      <c r="B636" t="s">
        <v>30</v>
      </c>
      <c r="C636" s="5">
        <v>51056991.780000001</v>
      </c>
      <c r="D636" s="2">
        <v>44952</v>
      </c>
      <c r="E636" s="5">
        <f t="shared" si="13"/>
        <v>107219682.73800001</v>
      </c>
      <c r="F636" s="2">
        <v>44956</v>
      </c>
      <c r="G636" s="3" t="s">
        <v>572</v>
      </c>
      <c r="H636" t="s">
        <v>260</v>
      </c>
      <c r="I636" s="7">
        <v>49689</v>
      </c>
      <c r="J636" t="s">
        <v>20</v>
      </c>
      <c r="K636" s="12">
        <v>30000</v>
      </c>
      <c r="L636" t="s">
        <v>0</v>
      </c>
      <c r="M636" s="12">
        <v>517205</v>
      </c>
      <c r="N636" t="s">
        <v>1</v>
      </c>
      <c r="O636" s="12">
        <v>17.239999999999998</v>
      </c>
      <c r="P636" s="12">
        <v>101884.21</v>
      </c>
      <c r="Q636" s="12">
        <v>3.4</v>
      </c>
    </row>
    <row r="637" spans="1:17" x14ac:dyDescent="0.2">
      <c r="A637" t="s">
        <v>29</v>
      </c>
      <c r="B637" t="s">
        <v>30</v>
      </c>
      <c r="C637" s="5">
        <v>51056992.32</v>
      </c>
      <c r="D637" s="2">
        <v>44951</v>
      </c>
      <c r="E637" s="5">
        <f t="shared" si="13"/>
        <v>107219683.87200001</v>
      </c>
      <c r="F637" s="2">
        <v>44956</v>
      </c>
      <c r="G637" s="3" t="s">
        <v>605</v>
      </c>
      <c r="H637" t="s">
        <v>64</v>
      </c>
      <c r="I637" s="7">
        <v>49689</v>
      </c>
      <c r="J637" t="s">
        <v>20</v>
      </c>
      <c r="K637" s="12">
        <v>30000</v>
      </c>
      <c r="L637" t="s">
        <v>0</v>
      </c>
      <c r="M637" s="12">
        <v>505500</v>
      </c>
      <c r="N637" t="s">
        <v>1</v>
      </c>
      <c r="O637" s="12">
        <v>16.850000000000001</v>
      </c>
      <c r="P637" s="12">
        <v>99578.44</v>
      </c>
      <c r="Q637" s="12">
        <v>3.32</v>
      </c>
    </row>
    <row r="638" spans="1:17" x14ac:dyDescent="0.2">
      <c r="A638" t="s">
        <v>29</v>
      </c>
      <c r="B638" t="s">
        <v>30</v>
      </c>
      <c r="C638" s="5">
        <v>51056992.390000001</v>
      </c>
      <c r="D638" s="2">
        <v>44953</v>
      </c>
      <c r="E638" s="5">
        <f t="shared" si="13"/>
        <v>107219684.01900001</v>
      </c>
      <c r="F638" s="2">
        <v>44956</v>
      </c>
      <c r="G638" s="3" t="s">
        <v>606</v>
      </c>
      <c r="H638" t="s">
        <v>292</v>
      </c>
      <c r="I638" s="7">
        <v>49689</v>
      </c>
      <c r="J638" t="s">
        <v>20</v>
      </c>
      <c r="K638" s="12">
        <v>1892.5</v>
      </c>
      <c r="L638" t="s">
        <v>0</v>
      </c>
      <c r="M638" s="12">
        <v>33321.82</v>
      </c>
      <c r="N638" t="s">
        <v>1</v>
      </c>
      <c r="O638" s="12">
        <v>17.61</v>
      </c>
      <c r="P638" s="12">
        <v>6564.07</v>
      </c>
      <c r="Q638" s="12">
        <v>3.47</v>
      </c>
    </row>
    <row r="639" spans="1:17" x14ac:dyDescent="0.2">
      <c r="A639" t="s">
        <v>29</v>
      </c>
      <c r="B639" t="s">
        <v>30</v>
      </c>
      <c r="C639" s="5">
        <v>51056992.399999999</v>
      </c>
      <c r="D639" s="2">
        <v>44953</v>
      </c>
      <c r="E639" s="5">
        <f t="shared" si="13"/>
        <v>107219684.04000001</v>
      </c>
      <c r="F639" s="2">
        <v>44956</v>
      </c>
      <c r="G639" s="3" t="s">
        <v>607</v>
      </c>
      <c r="H639" t="s">
        <v>293</v>
      </c>
      <c r="I639" s="7">
        <v>49689</v>
      </c>
      <c r="J639" t="s">
        <v>20</v>
      </c>
      <c r="K639" s="12">
        <v>2100</v>
      </c>
      <c r="L639" t="s">
        <v>0</v>
      </c>
      <c r="M639" s="12">
        <v>36707.58</v>
      </c>
      <c r="N639" t="s">
        <v>1</v>
      </c>
      <c r="O639" s="12">
        <v>17.48</v>
      </c>
      <c r="P639" s="12">
        <v>7231.03</v>
      </c>
      <c r="Q639" s="12">
        <v>3.44</v>
      </c>
    </row>
    <row r="640" spans="1:17" x14ac:dyDescent="0.2">
      <c r="A640" t="s">
        <v>29</v>
      </c>
      <c r="B640" t="s">
        <v>30</v>
      </c>
      <c r="C640" s="5">
        <v>51056993.520000003</v>
      </c>
      <c r="D640" s="2">
        <v>44951</v>
      </c>
      <c r="E640" s="5">
        <f t="shared" si="13"/>
        <v>107219686.392</v>
      </c>
      <c r="F640" s="2">
        <v>44956</v>
      </c>
      <c r="G640" s="3" t="s">
        <v>608</v>
      </c>
      <c r="H640" t="s">
        <v>294</v>
      </c>
      <c r="I640" s="7">
        <v>49689</v>
      </c>
      <c r="J640" t="s">
        <v>20</v>
      </c>
      <c r="K640" s="12">
        <v>4912.8999999999996</v>
      </c>
      <c r="L640" t="s">
        <v>0</v>
      </c>
      <c r="M640" s="12">
        <v>83939.35</v>
      </c>
      <c r="N640" t="s">
        <v>1</v>
      </c>
      <c r="O640" s="12">
        <v>17.09</v>
      </c>
      <c r="P640" s="12">
        <v>16535.21</v>
      </c>
      <c r="Q640" s="12">
        <v>3.37</v>
      </c>
    </row>
    <row r="641" spans="1:17" x14ac:dyDescent="0.2">
      <c r="A641" t="s">
        <v>29</v>
      </c>
      <c r="B641" t="s">
        <v>30</v>
      </c>
      <c r="C641" s="5">
        <v>51056993.560000002</v>
      </c>
      <c r="D641" s="2">
        <v>44953</v>
      </c>
      <c r="E641" s="5">
        <f t="shared" si="13"/>
        <v>107219686.47600001</v>
      </c>
      <c r="F641" s="2">
        <v>44956</v>
      </c>
      <c r="G641" s="3" t="s">
        <v>588</v>
      </c>
      <c r="H641" t="s">
        <v>276</v>
      </c>
      <c r="I641" s="7">
        <v>49689</v>
      </c>
      <c r="J641" t="s">
        <v>20</v>
      </c>
      <c r="K641" s="12">
        <v>6480</v>
      </c>
      <c r="L641" t="s">
        <v>0</v>
      </c>
      <c r="M641" s="12">
        <v>112884.84</v>
      </c>
      <c r="N641" t="s">
        <v>1</v>
      </c>
      <c r="O641" s="12">
        <v>17.420000000000002</v>
      </c>
      <c r="P641" s="12">
        <v>22237.18</v>
      </c>
      <c r="Q641" s="12">
        <v>3.43</v>
      </c>
    </row>
    <row r="642" spans="1:17" x14ac:dyDescent="0.2">
      <c r="A642" t="s">
        <v>29</v>
      </c>
      <c r="B642" t="s">
        <v>30</v>
      </c>
      <c r="C642" s="5">
        <v>51056993.590000004</v>
      </c>
      <c r="D642" s="2">
        <v>44953</v>
      </c>
      <c r="E642" s="5">
        <f t="shared" si="13"/>
        <v>107219686.53900002</v>
      </c>
      <c r="F642" s="2">
        <v>44956</v>
      </c>
      <c r="G642" s="3" t="s">
        <v>593</v>
      </c>
      <c r="H642" t="s">
        <v>281</v>
      </c>
      <c r="I642" s="7">
        <v>49689</v>
      </c>
      <c r="J642" t="s">
        <v>20</v>
      </c>
      <c r="K642" s="12">
        <v>17100</v>
      </c>
      <c r="L642" t="s">
        <v>0</v>
      </c>
      <c r="M642" s="12">
        <v>310650</v>
      </c>
      <c r="N642" t="s">
        <v>1</v>
      </c>
      <c r="O642" s="12">
        <v>18.170000000000002</v>
      </c>
      <c r="P642" s="12">
        <v>60985.120000000003</v>
      </c>
      <c r="Q642" s="12">
        <v>3.57</v>
      </c>
    </row>
    <row r="643" spans="1:17" x14ac:dyDescent="0.2">
      <c r="A643" t="s">
        <v>29</v>
      </c>
      <c r="B643" t="s">
        <v>30</v>
      </c>
      <c r="C643" s="5">
        <v>51056994.140000001</v>
      </c>
      <c r="D643" s="2">
        <v>44951</v>
      </c>
      <c r="E643" s="5">
        <f t="shared" si="13"/>
        <v>107219687.69400001</v>
      </c>
      <c r="F643" s="2">
        <v>44956</v>
      </c>
      <c r="G643" s="3" t="s">
        <v>609</v>
      </c>
      <c r="H643" t="s">
        <v>295</v>
      </c>
      <c r="I643" s="7">
        <v>49689</v>
      </c>
      <c r="J643" t="s">
        <v>20</v>
      </c>
      <c r="K643" s="12">
        <v>15480</v>
      </c>
      <c r="L643" t="s">
        <v>0</v>
      </c>
      <c r="M643" s="12">
        <v>274770</v>
      </c>
      <c r="N643" t="s">
        <v>1</v>
      </c>
      <c r="O643" s="12">
        <v>17.75</v>
      </c>
      <c r="P643" s="12">
        <v>54126.94</v>
      </c>
      <c r="Q643" s="12">
        <v>3.5</v>
      </c>
    </row>
    <row r="644" spans="1:17" x14ac:dyDescent="0.2">
      <c r="A644" t="s">
        <v>29</v>
      </c>
      <c r="B644" t="s">
        <v>30</v>
      </c>
      <c r="C644" s="5">
        <v>51056994.240000002</v>
      </c>
      <c r="D644" s="2">
        <v>44952</v>
      </c>
      <c r="E644" s="5">
        <f t="shared" si="13"/>
        <v>107219687.90400001</v>
      </c>
      <c r="F644" s="2">
        <v>44954</v>
      </c>
      <c r="G644" s="3" t="s">
        <v>420</v>
      </c>
      <c r="H644" t="s">
        <v>125</v>
      </c>
      <c r="I644" s="7">
        <v>49689</v>
      </c>
      <c r="J644" t="s">
        <v>20</v>
      </c>
      <c r="K644" s="12">
        <v>33000</v>
      </c>
      <c r="L644" t="s">
        <v>0</v>
      </c>
      <c r="M644" s="12">
        <v>588500</v>
      </c>
      <c r="N644" t="s">
        <v>1</v>
      </c>
      <c r="O644" s="12">
        <v>17.829999999999998</v>
      </c>
      <c r="P644" s="12">
        <v>115488.34</v>
      </c>
      <c r="Q644" s="12">
        <v>3.5</v>
      </c>
    </row>
    <row r="645" spans="1:17" x14ac:dyDescent="0.2">
      <c r="A645" t="s">
        <v>29</v>
      </c>
      <c r="B645" t="s">
        <v>30</v>
      </c>
      <c r="C645" s="5">
        <v>51056994.259999998</v>
      </c>
      <c r="D645" s="2">
        <v>44953</v>
      </c>
      <c r="E645" s="5">
        <f t="shared" si="13"/>
        <v>107219687.94599999</v>
      </c>
      <c r="F645" s="2">
        <v>44954</v>
      </c>
      <c r="G645" s="3" t="s">
        <v>323</v>
      </c>
      <c r="H645" t="s">
        <v>33</v>
      </c>
      <c r="I645" s="7">
        <v>49689</v>
      </c>
      <c r="J645" t="s">
        <v>20</v>
      </c>
      <c r="K645" s="12">
        <v>6600</v>
      </c>
      <c r="L645" t="s">
        <v>0</v>
      </c>
      <c r="M645" s="12">
        <v>100416.8</v>
      </c>
      <c r="N645" t="s">
        <v>1</v>
      </c>
      <c r="O645" s="12">
        <v>15.21</v>
      </c>
      <c r="P645" s="12">
        <v>19703.62</v>
      </c>
      <c r="Q645" s="12">
        <v>2.99</v>
      </c>
    </row>
    <row r="646" spans="1:17" x14ac:dyDescent="0.2">
      <c r="A646" t="s">
        <v>29</v>
      </c>
      <c r="B646" t="s">
        <v>30</v>
      </c>
      <c r="C646" s="5">
        <v>51056994.280000001</v>
      </c>
      <c r="D646" s="2">
        <v>44951</v>
      </c>
      <c r="E646" s="5">
        <f t="shared" si="13"/>
        <v>107219687.98800001</v>
      </c>
      <c r="F646" s="2">
        <v>44956</v>
      </c>
      <c r="G646" s="3" t="s">
        <v>610</v>
      </c>
      <c r="H646" t="s">
        <v>296</v>
      </c>
      <c r="I646" s="7">
        <v>49689</v>
      </c>
      <c r="J646" t="s">
        <v>20</v>
      </c>
      <c r="K646" s="12">
        <v>10380</v>
      </c>
      <c r="L646" t="s">
        <v>0</v>
      </c>
      <c r="M646" s="12">
        <v>187927.82</v>
      </c>
      <c r="N646" t="s">
        <v>1</v>
      </c>
      <c r="O646" s="12">
        <v>18.100000000000001</v>
      </c>
      <c r="P646" s="12">
        <v>37019.9</v>
      </c>
      <c r="Q646" s="12">
        <v>3.57</v>
      </c>
    </row>
    <row r="647" spans="1:17" x14ac:dyDescent="0.2">
      <c r="A647" t="s">
        <v>29</v>
      </c>
      <c r="B647" t="s">
        <v>30</v>
      </c>
      <c r="C647" s="5">
        <v>51056994.32</v>
      </c>
      <c r="D647" s="2">
        <v>44952</v>
      </c>
      <c r="E647" s="5">
        <f t="shared" si="13"/>
        <v>107219688.07200001</v>
      </c>
      <c r="F647" s="2">
        <v>44954</v>
      </c>
      <c r="G647" s="3" t="s">
        <v>420</v>
      </c>
      <c r="H647" t="s">
        <v>125</v>
      </c>
      <c r="I647" s="7">
        <v>49689</v>
      </c>
      <c r="J647" t="s">
        <v>20</v>
      </c>
      <c r="K647" s="12">
        <v>18000</v>
      </c>
      <c r="L647" t="s">
        <v>0</v>
      </c>
      <c r="M647" s="12">
        <v>321000</v>
      </c>
      <c r="N647" t="s">
        <v>1</v>
      </c>
      <c r="O647" s="12">
        <v>17.829999999999998</v>
      </c>
      <c r="P647" s="12">
        <v>62993.63</v>
      </c>
      <c r="Q647" s="12">
        <v>3.5</v>
      </c>
    </row>
    <row r="648" spans="1:17" x14ac:dyDescent="0.2">
      <c r="A648" t="s">
        <v>29</v>
      </c>
      <c r="B648" t="s">
        <v>30</v>
      </c>
      <c r="C648" s="5">
        <v>51056994.399999999</v>
      </c>
      <c r="D648" s="2">
        <v>44951</v>
      </c>
      <c r="E648" s="5">
        <f t="shared" si="13"/>
        <v>107219688.23999999</v>
      </c>
      <c r="F648" s="2">
        <v>44956</v>
      </c>
      <c r="G648" s="3" t="s">
        <v>608</v>
      </c>
      <c r="H648" t="s">
        <v>294</v>
      </c>
      <c r="I648" s="7">
        <v>49689</v>
      </c>
      <c r="J648" t="s">
        <v>20</v>
      </c>
      <c r="K648" s="12">
        <v>7500</v>
      </c>
      <c r="L648" t="s">
        <v>0</v>
      </c>
      <c r="M648" s="12">
        <v>135786</v>
      </c>
      <c r="N648" t="s">
        <v>1</v>
      </c>
      <c r="O648" s="12">
        <v>18.100000000000001</v>
      </c>
      <c r="P648" s="12">
        <v>26748.48</v>
      </c>
      <c r="Q648" s="12">
        <v>3.57</v>
      </c>
    </row>
    <row r="649" spans="1:17" x14ac:dyDescent="0.2">
      <c r="A649" t="s">
        <v>29</v>
      </c>
      <c r="B649" t="s">
        <v>30</v>
      </c>
      <c r="C649" s="5">
        <v>51056994.410000004</v>
      </c>
      <c r="D649" s="2">
        <v>44953</v>
      </c>
      <c r="E649" s="5">
        <f t="shared" si="13"/>
        <v>107219688.26100001</v>
      </c>
      <c r="F649" s="2">
        <v>44956</v>
      </c>
      <c r="G649" s="3" t="s">
        <v>611</v>
      </c>
      <c r="H649" t="s">
        <v>297</v>
      </c>
      <c r="I649" s="7">
        <v>49689</v>
      </c>
      <c r="J649" t="s">
        <v>20</v>
      </c>
      <c r="K649" s="12">
        <v>1797</v>
      </c>
      <c r="L649" t="s">
        <v>0</v>
      </c>
      <c r="M649" s="12">
        <v>31474.1</v>
      </c>
      <c r="N649" t="s">
        <v>1</v>
      </c>
      <c r="O649" s="12">
        <v>17.510000000000002</v>
      </c>
      <c r="P649" s="12">
        <v>6200.08</v>
      </c>
      <c r="Q649" s="12">
        <v>3.45</v>
      </c>
    </row>
    <row r="650" spans="1:17" x14ac:dyDescent="0.2">
      <c r="A650" t="s">
        <v>29</v>
      </c>
      <c r="B650" t="s">
        <v>30</v>
      </c>
      <c r="C650" s="5">
        <v>51056994.460000001</v>
      </c>
      <c r="D650" s="2">
        <v>44951</v>
      </c>
      <c r="E650" s="5">
        <f t="shared" si="13"/>
        <v>107219688.36600001</v>
      </c>
      <c r="F650" s="2">
        <v>44956</v>
      </c>
      <c r="G650" s="3" t="s">
        <v>364</v>
      </c>
      <c r="H650" t="s">
        <v>73</v>
      </c>
      <c r="I650" s="7">
        <v>49689</v>
      </c>
      <c r="J650" t="s">
        <v>20</v>
      </c>
      <c r="K650" s="12">
        <v>15300</v>
      </c>
      <c r="L650" t="s">
        <v>0</v>
      </c>
      <c r="M650" s="12">
        <v>269886.90000000002</v>
      </c>
      <c r="N650" t="s">
        <v>1</v>
      </c>
      <c r="O650" s="12">
        <v>17.64</v>
      </c>
      <c r="P650" s="12">
        <v>53166.01</v>
      </c>
      <c r="Q650" s="12">
        <v>3.47</v>
      </c>
    </row>
    <row r="651" spans="1:17" x14ac:dyDescent="0.2">
      <c r="A651" t="s">
        <v>29</v>
      </c>
      <c r="B651" t="s">
        <v>30</v>
      </c>
      <c r="C651" s="5">
        <v>51056994.469999999</v>
      </c>
      <c r="D651" s="2">
        <v>44953</v>
      </c>
      <c r="E651" s="5">
        <f t="shared" si="13"/>
        <v>107219688.38700001</v>
      </c>
      <c r="F651" s="2">
        <v>44956</v>
      </c>
      <c r="G651" s="3" t="s">
        <v>351</v>
      </c>
      <c r="H651" t="s">
        <v>60</v>
      </c>
      <c r="I651" s="7">
        <v>49689</v>
      </c>
      <c r="J651" t="s">
        <v>20</v>
      </c>
      <c r="K651" s="12">
        <v>6000</v>
      </c>
      <c r="L651" t="s">
        <v>0</v>
      </c>
      <c r="M651" s="12">
        <v>108305</v>
      </c>
      <c r="N651" t="s">
        <v>1</v>
      </c>
      <c r="O651" s="12">
        <v>18.05</v>
      </c>
      <c r="P651" s="12">
        <v>21334.02</v>
      </c>
      <c r="Q651" s="12">
        <v>3.56</v>
      </c>
    </row>
    <row r="652" spans="1:17" x14ac:dyDescent="0.2">
      <c r="A652" t="s">
        <v>29</v>
      </c>
      <c r="B652" t="s">
        <v>30</v>
      </c>
      <c r="C652" s="5">
        <v>51056994.5</v>
      </c>
      <c r="D652" s="2">
        <v>44949</v>
      </c>
      <c r="E652" s="5">
        <f t="shared" si="13"/>
        <v>107219688.45</v>
      </c>
      <c r="F652" s="2">
        <v>44956</v>
      </c>
      <c r="G652" s="3" t="s">
        <v>423</v>
      </c>
      <c r="H652" t="s">
        <v>128</v>
      </c>
      <c r="I652" s="7">
        <v>49689</v>
      </c>
      <c r="J652" t="s">
        <v>20</v>
      </c>
      <c r="K652" s="12">
        <v>18000</v>
      </c>
      <c r="L652" t="s">
        <v>0</v>
      </c>
      <c r="M652" s="12">
        <v>279000</v>
      </c>
      <c r="N652" t="s">
        <v>1</v>
      </c>
      <c r="O652" s="12">
        <v>15.5</v>
      </c>
      <c r="P652" s="12">
        <v>54960.21</v>
      </c>
      <c r="Q652" s="12">
        <v>3.05</v>
      </c>
    </row>
    <row r="653" spans="1:17" x14ac:dyDescent="0.2">
      <c r="A653" t="s">
        <v>29</v>
      </c>
      <c r="B653" t="s">
        <v>30</v>
      </c>
      <c r="C653" s="5">
        <v>51056994.660000004</v>
      </c>
      <c r="D653" s="2">
        <v>44951</v>
      </c>
      <c r="E653" s="5">
        <f t="shared" si="13"/>
        <v>107219688.78600001</v>
      </c>
      <c r="F653" s="2">
        <v>44956</v>
      </c>
      <c r="G653" s="3" t="s">
        <v>608</v>
      </c>
      <c r="H653" t="s">
        <v>294</v>
      </c>
      <c r="I653" s="7">
        <v>49689</v>
      </c>
      <c r="J653" t="s">
        <v>20</v>
      </c>
      <c r="K653" s="12">
        <v>4380</v>
      </c>
      <c r="L653" t="s">
        <v>0</v>
      </c>
      <c r="M653" s="12">
        <v>79299.02</v>
      </c>
      <c r="N653" t="s">
        <v>1</v>
      </c>
      <c r="O653" s="12">
        <v>18.100000000000001</v>
      </c>
      <c r="P653" s="12">
        <v>15621.11</v>
      </c>
      <c r="Q653" s="12">
        <v>3.57</v>
      </c>
    </row>
    <row r="654" spans="1:17" x14ac:dyDescent="0.2">
      <c r="A654" t="s">
        <v>29</v>
      </c>
      <c r="B654" t="s">
        <v>30</v>
      </c>
      <c r="C654" s="5">
        <v>51056995.100000001</v>
      </c>
      <c r="D654" s="2">
        <v>44951</v>
      </c>
      <c r="E654" s="5">
        <f t="shared" si="13"/>
        <v>107219689.71000001</v>
      </c>
      <c r="F654" s="2">
        <v>44956</v>
      </c>
      <c r="G654" s="3" t="s">
        <v>608</v>
      </c>
      <c r="H654" t="s">
        <v>294</v>
      </c>
      <c r="I654" s="7">
        <v>49689</v>
      </c>
      <c r="J654" t="s">
        <v>20</v>
      </c>
      <c r="K654" s="12">
        <v>6000</v>
      </c>
      <c r="L654" t="s">
        <v>0</v>
      </c>
      <c r="M654" s="12">
        <v>108628.8</v>
      </c>
      <c r="N654" t="s">
        <v>1</v>
      </c>
      <c r="O654" s="12">
        <v>18.100000000000001</v>
      </c>
      <c r="P654" s="12">
        <v>21398.79</v>
      </c>
      <c r="Q654" s="12">
        <v>3.57</v>
      </c>
    </row>
    <row r="655" spans="1:17" x14ac:dyDescent="0.2">
      <c r="A655" t="s">
        <v>29</v>
      </c>
      <c r="B655" t="s">
        <v>30</v>
      </c>
      <c r="C655" s="5">
        <v>51056995.160000004</v>
      </c>
      <c r="D655" s="2">
        <v>44953</v>
      </c>
      <c r="E655" s="5">
        <f t="shared" si="13"/>
        <v>107219689.83600001</v>
      </c>
      <c r="F655" s="2">
        <v>44956</v>
      </c>
      <c r="G655" s="3" t="s">
        <v>339</v>
      </c>
      <c r="H655" t="s">
        <v>49</v>
      </c>
      <c r="I655" s="7">
        <v>49689</v>
      </c>
      <c r="J655" t="s">
        <v>20</v>
      </c>
      <c r="K655" s="12">
        <v>7200</v>
      </c>
      <c r="L655" t="s">
        <v>0</v>
      </c>
      <c r="M655" s="12">
        <v>127224</v>
      </c>
      <c r="N655" t="s">
        <v>1</v>
      </c>
      <c r="O655" s="12">
        <v>17.670000000000002</v>
      </c>
      <c r="P655" s="12">
        <v>25061.85</v>
      </c>
      <c r="Q655" s="12">
        <v>3.48</v>
      </c>
    </row>
    <row r="656" spans="1:17" x14ac:dyDescent="0.2">
      <c r="A656" t="s">
        <v>29</v>
      </c>
      <c r="B656" t="s">
        <v>30</v>
      </c>
      <c r="C656" s="5">
        <v>51056995.170000002</v>
      </c>
      <c r="D656" s="2">
        <v>44956</v>
      </c>
      <c r="E656" s="5">
        <f t="shared" si="13"/>
        <v>107219689.85700001</v>
      </c>
      <c r="F656" s="2">
        <v>44956</v>
      </c>
      <c r="G656" s="3" t="s">
        <v>480</v>
      </c>
      <c r="H656" t="s">
        <v>182</v>
      </c>
      <c r="I656" s="7">
        <v>35333</v>
      </c>
      <c r="J656" t="s">
        <v>22</v>
      </c>
      <c r="K656" s="12">
        <v>2</v>
      </c>
      <c r="L656" t="s">
        <v>2</v>
      </c>
      <c r="M656" s="12">
        <v>27674.080000000002</v>
      </c>
      <c r="N656" t="s">
        <v>1</v>
      </c>
      <c r="O656" s="12">
        <v>13837.04</v>
      </c>
      <c r="P656" s="12">
        <v>5451.51</v>
      </c>
      <c r="Q656" s="12">
        <v>2725.76</v>
      </c>
    </row>
    <row r="657" spans="1:17" x14ac:dyDescent="0.2">
      <c r="A657" t="s">
        <v>29</v>
      </c>
      <c r="B657" t="s">
        <v>30</v>
      </c>
      <c r="C657" s="5">
        <v>51056995.410000004</v>
      </c>
      <c r="D657" s="2">
        <v>44804</v>
      </c>
      <c r="E657" s="5">
        <f t="shared" si="13"/>
        <v>107219690.36100002</v>
      </c>
      <c r="F657" s="2">
        <v>44956</v>
      </c>
      <c r="G657" s="3" t="s">
        <v>351</v>
      </c>
      <c r="H657" t="s">
        <v>60</v>
      </c>
      <c r="I657" s="7">
        <v>49689</v>
      </c>
      <c r="J657" t="s">
        <v>20</v>
      </c>
      <c r="K657" s="12">
        <v>6490</v>
      </c>
      <c r="L657" t="s">
        <v>0</v>
      </c>
      <c r="M657" s="12">
        <v>123848.67</v>
      </c>
      <c r="N657" t="s">
        <v>1</v>
      </c>
      <c r="O657" s="12">
        <v>19.079999999999998</v>
      </c>
      <c r="P657" s="12">
        <v>23959.37</v>
      </c>
      <c r="Q657" s="12">
        <v>3.69</v>
      </c>
    </row>
    <row r="658" spans="1:17" x14ac:dyDescent="0.2">
      <c r="A658" t="s">
        <v>29</v>
      </c>
      <c r="B658" t="s">
        <v>30</v>
      </c>
      <c r="C658" s="5">
        <v>51056995.420000002</v>
      </c>
      <c r="D658" s="2">
        <v>44945</v>
      </c>
      <c r="E658" s="5">
        <f t="shared" si="13"/>
        <v>107219690.38200001</v>
      </c>
      <c r="F658" s="2">
        <v>44956</v>
      </c>
      <c r="G658" s="3" t="s">
        <v>430</v>
      </c>
      <c r="H658" t="s">
        <v>135</v>
      </c>
      <c r="I658" s="7">
        <v>49689</v>
      </c>
      <c r="J658" t="s">
        <v>20</v>
      </c>
      <c r="K658" s="12">
        <v>14100</v>
      </c>
      <c r="L658" t="s">
        <v>0</v>
      </c>
      <c r="M658" s="12">
        <v>246841.65</v>
      </c>
      <c r="N658" t="s">
        <v>1</v>
      </c>
      <c r="O658" s="12">
        <v>17.510000000000002</v>
      </c>
      <c r="P658" s="12">
        <v>48625.33</v>
      </c>
      <c r="Q658" s="12">
        <v>3.45</v>
      </c>
    </row>
    <row r="659" spans="1:17" x14ac:dyDescent="0.2">
      <c r="A659" t="s">
        <v>29</v>
      </c>
      <c r="B659" t="s">
        <v>30</v>
      </c>
      <c r="C659" s="5">
        <v>51056995.469999999</v>
      </c>
      <c r="D659" s="2">
        <v>44952</v>
      </c>
      <c r="E659" s="5">
        <f t="shared" si="13"/>
        <v>107219690.487</v>
      </c>
      <c r="F659" s="2">
        <v>44956</v>
      </c>
      <c r="G659" s="3" t="s">
        <v>354</v>
      </c>
      <c r="H659" t="s">
        <v>63</v>
      </c>
      <c r="I659" s="7">
        <v>49689</v>
      </c>
      <c r="J659" t="s">
        <v>20</v>
      </c>
      <c r="K659" s="12">
        <v>30000</v>
      </c>
      <c r="L659" t="s">
        <v>0</v>
      </c>
      <c r="M659" s="12">
        <v>535650</v>
      </c>
      <c r="N659" t="s">
        <v>1</v>
      </c>
      <c r="O659" s="12">
        <v>17.86</v>
      </c>
      <c r="P659" s="12">
        <v>105517.69</v>
      </c>
      <c r="Q659" s="12">
        <v>3.52</v>
      </c>
    </row>
    <row r="660" spans="1:17" x14ac:dyDescent="0.2">
      <c r="A660" t="s">
        <v>29</v>
      </c>
      <c r="B660" t="s">
        <v>30</v>
      </c>
      <c r="C660" s="5">
        <v>51056995.620000005</v>
      </c>
      <c r="D660" s="2">
        <v>44951</v>
      </c>
      <c r="E660" s="5">
        <f t="shared" si="13"/>
        <v>107219690.80200002</v>
      </c>
      <c r="F660" s="2">
        <v>44956</v>
      </c>
      <c r="G660" s="3" t="s">
        <v>612</v>
      </c>
      <c r="H660" t="s">
        <v>298</v>
      </c>
      <c r="I660" s="7">
        <v>49689</v>
      </c>
      <c r="J660" t="s">
        <v>20</v>
      </c>
      <c r="K660" s="12">
        <v>1800</v>
      </c>
      <c r="L660" t="s">
        <v>0</v>
      </c>
      <c r="M660" s="12">
        <v>32588.639999999999</v>
      </c>
      <c r="N660" t="s">
        <v>1</v>
      </c>
      <c r="O660" s="12">
        <v>18.100000000000001</v>
      </c>
      <c r="P660" s="12">
        <v>6419.64</v>
      </c>
      <c r="Q660" s="12">
        <v>3.57</v>
      </c>
    </row>
    <row r="661" spans="1:17" x14ac:dyDescent="0.2">
      <c r="A661" t="s">
        <v>29</v>
      </c>
      <c r="B661" t="s">
        <v>30</v>
      </c>
      <c r="C661" s="5">
        <v>51056995.660000004</v>
      </c>
      <c r="D661" s="2">
        <v>44951</v>
      </c>
      <c r="E661" s="5">
        <f t="shared" si="13"/>
        <v>107219690.88600001</v>
      </c>
      <c r="F661" s="2">
        <v>44956</v>
      </c>
      <c r="G661" s="3" t="s">
        <v>613</v>
      </c>
      <c r="H661" t="s">
        <v>299</v>
      </c>
      <c r="I661" s="7">
        <v>49689</v>
      </c>
      <c r="J661" t="s">
        <v>20</v>
      </c>
      <c r="K661" s="12">
        <v>6300</v>
      </c>
      <c r="L661" t="s">
        <v>0</v>
      </c>
      <c r="M661" s="12">
        <v>114060.24</v>
      </c>
      <c r="N661" t="s">
        <v>1</v>
      </c>
      <c r="O661" s="12">
        <v>18.100000000000001</v>
      </c>
      <c r="P661" s="12">
        <v>22468.73</v>
      </c>
      <c r="Q661" s="12">
        <v>3.57</v>
      </c>
    </row>
    <row r="662" spans="1:17" x14ac:dyDescent="0.2">
      <c r="A662" t="s">
        <v>29</v>
      </c>
      <c r="B662" t="s">
        <v>30</v>
      </c>
      <c r="C662" s="5">
        <v>51056996.160000004</v>
      </c>
      <c r="D662" s="2">
        <v>44952</v>
      </c>
      <c r="E662" s="5">
        <f t="shared" si="13"/>
        <v>107219691.93600002</v>
      </c>
      <c r="F662" s="2">
        <v>44956</v>
      </c>
      <c r="G662" s="3" t="s">
        <v>339</v>
      </c>
      <c r="H662" t="s">
        <v>49</v>
      </c>
      <c r="I662" s="7">
        <v>49689</v>
      </c>
      <c r="J662" t="s">
        <v>20</v>
      </c>
      <c r="K662" s="12">
        <v>32400</v>
      </c>
      <c r="L662" t="s">
        <v>0</v>
      </c>
      <c r="M662" s="12">
        <v>556200.11</v>
      </c>
      <c r="N662" t="s">
        <v>1</v>
      </c>
      <c r="O662" s="12">
        <v>17.170000000000002</v>
      </c>
      <c r="P662" s="12">
        <v>109565.86</v>
      </c>
      <c r="Q662" s="12">
        <v>3.38</v>
      </c>
    </row>
    <row r="663" spans="1:17" x14ac:dyDescent="0.2">
      <c r="A663" t="s">
        <v>29</v>
      </c>
      <c r="B663" t="s">
        <v>30</v>
      </c>
      <c r="C663" s="5">
        <v>51056996.200000003</v>
      </c>
      <c r="D663" s="2">
        <v>44953</v>
      </c>
      <c r="E663" s="5">
        <f t="shared" si="13"/>
        <v>107219692.02000001</v>
      </c>
      <c r="F663" s="2">
        <v>44956</v>
      </c>
      <c r="G663" s="3" t="s">
        <v>420</v>
      </c>
      <c r="H663" t="s">
        <v>125</v>
      </c>
      <c r="I663" s="7">
        <v>49689</v>
      </c>
      <c r="J663" t="s">
        <v>20</v>
      </c>
      <c r="K663" s="12">
        <v>6060</v>
      </c>
      <c r="L663" t="s">
        <v>0</v>
      </c>
      <c r="M663" s="12">
        <v>112132.22</v>
      </c>
      <c r="N663" t="s">
        <v>1</v>
      </c>
      <c r="O663" s="12">
        <v>18.5</v>
      </c>
      <c r="P663" s="12">
        <v>22084.560000000001</v>
      </c>
      <c r="Q663" s="12">
        <v>3.64</v>
      </c>
    </row>
    <row r="664" spans="1:17" x14ac:dyDescent="0.2">
      <c r="A664" t="s">
        <v>29</v>
      </c>
      <c r="B664" t="s">
        <v>30</v>
      </c>
      <c r="C664" s="5">
        <v>51056996.230000004</v>
      </c>
      <c r="D664" s="2">
        <v>44953</v>
      </c>
      <c r="E664" s="5">
        <f t="shared" si="13"/>
        <v>107219692.08300002</v>
      </c>
      <c r="F664" s="2">
        <v>44956</v>
      </c>
      <c r="G664" s="3" t="s">
        <v>330</v>
      </c>
      <c r="H664" t="s">
        <v>40</v>
      </c>
      <c r="I664" s="7">
        <v>49689</v>
      </c>
      <c r="J664" t="s">
        <v>20</v>
      </c>
      <c r="K664" s="12">
        <v>33120</v>
      </c>
      <c r="L664" t="s">
        <v>0</v>
      </c>
      <c r="M664" s="12">
        <v>568560</v>
      </c>
      <c r="N664" t="s">
        <v>1</v>
      </c>
      <c r="O664" s="12">
        <v>17.170000000000002</v>
      </c>
      <c r="P664" s="12">
        <v>112000.63</v>
      </c>
      <c r="Q664" s="12">
        <v>3.38</v>
      </c>
    </row>
    <row r="665" spans="1:17" x14ac:dyDescent="0.2">
      <c r="A665" t="s">
        <v>29</v>
      </c>
      <c r="B665" t="s">
        <v>30</v>
      </c>
      <c r="C665" s="5">
        <v>51056996.270000003</v>
      </c>
      <c r="D665" s="2">
        <v>44949</v>
      </c>
      <c r="E665" s="5">
        <f t="shared" si="13"/>
        <v>107219692.16700001</v>
      </c>
      <c r="F665" s="2">
        <v>44956</v>
      </c>
      <c r="G665" s="3" t="s">
        <v>536</v>
      </c>
      <c r="H665" t="s">
        <v>229</v>
      </c>
      <c r="I665" s="7">
        <v>49738</v>
      </c>
      <c r="J665" t="s">
        <v>21</v>
      </c>
      <c r="K665" s="12">
        <v>19800</v>
      </c>
      <c r="L665" t="s">
        <v>0</v>
      </c>
      <c r="M665" s="12">
        <v>231000</v>
      </c>
      <c r="N665" t="s">
        <v>1</v>
      </c>
      <c r="O665" s="12">
        <v>11.67</v>
      </c>
      <c r="P665" s="12">
        <v>45517.02</v>
      </c>
      <c r="Q665" s="12">
        <v>2.2999999999999998</v>
      </c>
    </row>
    <row r="666" spans="1:17" x14ac:dyDescent="0.2">
      <c r="A666" t="s">
        <v>29</v>
      </c>
      <c r="B666" t="s">
        <v>30</v>
      </c>
      <c r="C666" s="5">
        <v>51056996.300000004</v>
      </c>
      <c r="D666" s="2">
        <v>44950</v>
      </c>
      <c r="E666" s="5">
        <f t="shared" si="13"/>
        <v>107219692.23000002</v>
      </c>
      <c r="F666" s="2">
        <v>44956</v>
      </c>
      <c r="G666" s="3" t="s">
        <v>614</v>
      </c>
      <c r="H666" t="s">
        <v>300</v>
      </c>
      <c r="I666" s="7">
        <v>49689</v>
      </c>
      <c r="J666" t="s">
        <v>20</v>
      </c>
      <c r="K666" s="12">
        <v>12720</v>
      </c>
      <c r="L666" t="s">
        <v>0</v>
      </c>
      <c r="M666" s="12">
        <v>203520</v>
      </c>
      <c r="N666" t="s">
        <v>1</v>
      </c>
      <c r="O666" s="12">
        <v>16</v>
      </c>
      <c r="P666" s="12">
        <v>40091.4</v>
      </c>
      <c r="Q666" s="12">
        <v>3.15</v>
      </c>
    </row>
    <row r="667" spans="1:17" x14ac:dyDescent="0.2">
      <c r="A667" t="s">
        <v>29</v>
      </c>
      <c r="B667" t="s">
        <v>30</v>
      </c>
      <c r="C667" s="5">
        <v>51056996.439999998</v>
      </c>
      <c r="D667" s="2">
        <v>44951</v>
      </c>
      <c r="E667" s="5">
        <f t="shared" si="13"/>
        <v>107219692.524</v>
      </c>
      <c r="F667" s="2">
        <v>44956</v>
      </c>
      <c r="G667" s="3" t="s">
        <v>323</v>
      </c>
      <c r="H667" t="s">
        <v>33</v>
      </c>
      <c r="I667" s="7">
        <v>49689</v>
      </c>
      <c r="J667" t="s">
        <v>20</v>
      </c>
      <c r="K667" s="12">
        <v>15000</v>
      </c>
      <c r="L667" t="s">
        <v>0</v>
      </c>
      <c r="M667" s="12">
        <v>242500</v>
      </c>
      <c r="N667" t="s">
        <v>1</v>
      </c>
      <c r="O667" s="12">
        <v>16.170000000000002</v>
      </c>
      <c r="P667" s="12">
        <v>47770.07</v>
      </c>
      <c r="Q667" s="12">
        <v>3.18</v>
      </c>
    </row>
    <row r="668" spans="1:17" x14ac:dyDescent="0.2">
      <c r="A668" t="s">
        <v>29</v>
      </c>
      <c r="B668" t="s">
        <v>30</v>
      </c>
      <c r="C668" s="5">
        <v>51056996.57</v>
      </c>
      <c r="D668" s="2">
        <v>44952</v>
      </c>
      <c r="E668" s="5">
        <f t="shared" si="13"/>
        <v>107219692.79700001</v>
      </c>
      <c r="F668" s="2">
        <v>44956</v>
      </c>
      <c r="G668" s="3" t="s">
        <v>354</v>
      </c>
      <c r="H668" t="s">
        <v>63</v>
      </c>
      <c r="I668" s="7">
        <v>49689</v>
      </c>
      <c r="J668" t="s">
        <v>20</v>
      </c>
      <c r="K668" s="12">
        <v>30000</v>
      </c>
      <c r="L668" t="s">
        <v>0</v>
      </c>
      <c r="M668" s="12">
        <v>537510</v>
      </c>
      <c r="N668" t="s">
        <v>1</v>
      </c>
      <c r="O668" s="12">
        <v>17.920000000000002</v>
      </c>
      <c r="P668" s="12">
        <v>105884.09</v>
      </c>
      <c r="Q668" s="12">
        <v>3.53</v>
      </c>
    </row>
    <row r="669" spans="1:17" x14ac:dyDescent="0.2">
      <c r="A669" t="s">
        <v>29</v>
      </c>
      <c r="B669" t="s">
        <v>30</v>
      </c>
      <c r="C669" s="5">
        <v>51056996.810000002</v>
      </c>
      <c r="D669" s="2">
        <v>44950</v>
      </c>
      <c r="E669" s="5">
        <f t="shared" si="13"/>
        <v>107219693.30100001</v>
      </c>
      <c r="F669" s="2">
        <v>44956</v>
      </c>
      <c r="G669" s="3" t="s">
        <v>446</v>
      </c>
      <c r="H669" t="s">
        <v>150</v>
      </c>
      <c r="I669" s="7">
        <v>49689</v>
      </c>
      <c r="J669" t="s">
        <v>20</v>
      </c>
      <c r="K669" s="12">
        <v>3600</v>
      </c>
      <c r="L669" t="s">
        <v>0</v>
      </c>
      <c r="M669" s="12">
        <v>62220</v>
      </c>
      <c r="N669" t="s">
        <v>1</v>
      </c>
      <c r="O669" s="12">
        <v>17.28</v>
      </c>
      <c r="P669" s="12">
        <v>12254.35</v>
      </c>
      <c r="Q669" s="12">
        <v>3.4</v>
      </c>
    </row>
    <row r="670" spans="1:17" x14ac:dyDescent="0.2">
      <c r="A670" t="s">
        <v>29</v>
      </c>
      <c r="B670" t="s">
        <v>30</v>
      </c>
      <c r="C670" s="5">
        <v>51056996.850000001</v>
      </c>
      <c r="D670" s="2">
        <v>44953</v>
      </c>
      <c r="E670" s="5">
        <f t="shared" si="13"/>
        <v>107219693.38500001</v>
      </c>
      <c r="F670" s="2">
        <v>44956</v>
      </c>
      <c r="G670" s="3" t="s">
        <v>457</v>
      </c>
      <c r="H670" t="s">
        <v>161</v>
      </c>
      <c r="I670" s="7">
        <v>49689</v>
      </c>
      <c r="J670" t="s">
        <v>20</v>
      </c>
      <c r="K670" s="12">
        <v>14700</v>
      </c>
      <c r="L670" t="s">
        <v>0</v>
      </c>
      <c r="M670" s="12">
        <v>228790.8</v>
      </c>
      <c r="N670" t="s">
        <v>1</v>
      </c>
      <c r="O670" s="12">
        <v>15.56</v>
      </c>
      <c r="P670" s="12">
        <v>45069.5</v>
      </c>
      <c r="Q670" s="12">
        <v>3.07</v>
      </c>
    </row>
    <row r="671" spans="1:17" x14ac:dyDescent="0.2">
      <c r="A671" t="s">
        <v>29</v>
      </c>
      <c r="B671" t="s">
        <v>30</v>
      </c>
      <c r="C671" s="5">
        <v>51056997.439999998</v>
      </c>
      <c r="D671" s="2">
        <v>44952</v>
      </c>
      <c r="E671" s="5">
        <f t="shared" si="13"/>
        <v>107219694.624</v>
      </c>
      <c r="F671" s="2">
        <v>44956</v>
      </c>
      <c r="G671" s="3" t="s">
        <v>615</v>
      </c>
      <c r="H671" t="s">
        <v>301</v>
      </c>
      <c r="I671" s="7">
        <v>49689</v>
      </c>
      <c r="J671" t="s">
        <v>20</v>
      </c>
      <c r="K671" s="12">
        <v>15000</v>
      </c>
      <c r="L671" t="s">
        <v>0</v>
      </c>
      <c r="M671" s="12">
        <v>265750</v>
      </c>
      <c r="N671" t="s">
        <v>1</v>
      </c>
      <c r="O671" s="12">
        <v>17.72</v>
      </c>
      <c r="P671" s="12">
        <v>52350.09</v>
      </c>
      <c r="Q671" s="12">
        <v>3.49</v>
      </c>
    </row>
    <row r="672" spans="1:17" x14ac:dyDescent="0.2">
      <c r="A672" t="s">
        <v>29</v>
      </c>
      <c r="B672" t="s">
        <v>30</v>
      </c>
      <c r="C672" s="5">
        <v>51056997.950000003</v>
      </c>
      <c r="D672" s="2">
        <v>44952</v>
      </c>
      <c r="E672" s="5">
        <f t="shared" si="13"/>
        <v>107219695.69500001</v>
      </c>
      <c r="F672" s="2">
        <v>44956</v>
      </c>
      <c r="G672" s="3" t="s">
        <v>572</v>
      </c>
      <c r="H672" t="s">
        <v>260</v>
      </c>
      <c r="I672" s="7">
        <v>49689</v>
      </c>
      <c r="J672" t="s">
        <v>20</v>
      </c>
      <c r="K672" s="12">
        <v>30000</v>
      </c>
      <c r="L672" t="s">
        <v>0</v>
      </c>
      <c r="M672" s="12">
        <v>517205</v>
      </c>
      <c r="N672" t="s">
        <v>1</v>
      </c>
      <c r="O672" s="12">
        <v>17.239999999999998</v>
      </c>
      <c r="P672" s="12">
        <v>101884.21</v>
      </c>
      <c r="Q672" s="12">
        <v>3.4</v>
      </c>
    </row>
    <row r="673" spans="1:17" x14ac:dyDescent="0.2">
      <c r="A673" t="s">
        <v>29</v>
      </c>
      <c r="B673" t="s">
        <v>30</v>
      </c>
      <c r="C673" s="5">
        <v>51056998.950000003</v>
      </c>
      <c r="D673" s="2">
        <v>44951</v>
      </c>
      <c r="E673" s="5">
        <f t="shared" si="13"/>
        <v>107219697.79500002</v>
      </c>
      <c r="F673" s="2">
        <v>44956</v>
      </c>
      <c r="G673" s="3" t="s">
        <v>616</v>
      </c>
      <c r="H673" t="s">
        <v>302</v>
      </c>
      <c r="I673" s="7">
        <v>49731</v>
      </c>
      <c r="J673" t="s">
        <v>23</v>
      </c>
      <c r="K673" s="12">
        <v>12749.5</v>
      </c>
      <c r="L673" t="s">
        <v>0</v>
      </c>
      <c r="M673" s="12">
        <v>242390.94</v>
      </c>
      <c r="N673" t="s">
        <v>1</v>
      </c>
      <c r="O673" s="12">
        <v>19.010000000000002</v>
      </c>
      <c r="P673" s="12">
        <v>47748.59</v>
      </c>
      <c r="Q673" s="12">
        <v>3.75</v>
      </c>
    </row>
    <row r="674" spans="1:17" x14ac:dyDescent="0.2">
      <c r="A674" t="s">
        <v>29</v>
      </c>
      <c r="B674" t="s">
        <v>30</v>
      </c>
      <c r="C674" s="5">
        <v>51057001.600000001</v>
      </c>
      <c r="D674" s="2">
        <v>44951</v>
      </c>
      <c r="E674" s="5">
        <f t="shared" si="13"/>
        <v>107219703.36000001</v>
      </c>
      <c r="F674" s="2">
        <v>44956</v>
      </c>
      <c r="G674" s="3" t="s">
        <v>617</v>
      </c>
      <c r="H674" t="s">
        <v>303</v>
      </c>
      <c r="I674" s="7">
        <v>49689</v>
      </c>
      <c r="J674" t="s">
        <v>20</v>
      </c>
      <c r="K674" s="12">
        <v>30900</v>
      </c>
      <c r="L674" t="s">
        <v>0</v>
      </c>
      <c r="M674" s="12">
        <v>540750</v>
      </c>
      <c r="N674" t="s">
        <v>1</v>
      </c>
      <c r="O674" s="12">
        <v>17.5</v>
      </c>
      <c r="P674" s="12">
        <v>106522.34</v>
      </c>
      <c r="Q674" s="12">
        <v>3.45</v>
      </c>
    </row>
    <row r="675" spans="1:17" x14ac:dyDescent="0.2">
      <c r="A675" t="s">
        <v>29</v>
      </c>
      <c r="B675" t="s">
        <v>30</v>
      </c>
      <c r="C675" s="5">
        <v>51057001.829999998</v>
      </c>
      <c r="D675" s="2">
        <v>44951</v>
      </c>
      <c r="E675" s="5">
        <f t="shared" si="13"/>
        <v>107219703.84299999</v>
      </c>
      <c r="F675" s="2">
        <v>44956</v>
      </c>
      <c r="G675" s="3" t="s">
        <v>617</v>
      </c>
      <c r="H675" t="s">
        <v>303</v>
      </c>
      <c r="I675" s="7">
        <v>49689</v>
      </c>
      <c r="J675" t="s">
        <v>20</v>
      </c>
      <c r="K675" s="12">
        <v>30900</v>
      </c>
      <c r="L675" t="s">
        <v>0</v>
      </c>
      <c r="M675" s="12">
        <v>540750</v>
      </c>
      <c r="N675" t="s">
        <v>1</v>
      </c>
      <c r="O675" s="12">
        <v>17.5</v>
      </c>
      <c r="P675" s="12">
        <v>106522.34</v>
      </c>
      <c r="Q675" s="12">
        <v>3.45</v>
      </c>
    </row>
    <row r="676" spans="1:17" x14ac:dyDescent="0.2">
      <c r="A676" t="s">
        <v>29</v>
      </c>
      <c r="B676" t="s">
        <v>30</v>
      </c>
      <c r="C676" s="5">
        <v>51057001.840000004</v>
      </c>
      <c r="D676" s="2">
        <v>44951</v>
      </c>
      <c r="E676" s="5">
        <f t="shared" si="13"/>
        <v>107219703.86400001</v>
      </c>
      <c r="F676" s="2">
        <v>44956</v>
      </c>
      <c r="G676" s="3" t="s">
        <v>617</v>
      </c>
      <c r="H676" t="s">
        <v>303</v>
      </c>
      <c r="I676" s="7">
        <v>49689</v>
      </c>
      <c r="J676" t="s">
        <v>20</v>
      </c>
      <c r="K676" s="12">
        <v>30900</v>
      </c>
      <c r="L676" t="s">
        <v>0</v>
      </c>
      <c r="M676" s="12">
        <v>540750</v>
      </c>
      <c r="N676" t="s">
        <v>1</v>
      </c>
      <c r="O676" s="12">
        <v>17.5</v>
      </c>
      <c r="P676" s="12">
        <v>106522.34</v>
      </c>
      <c r="Q676" s="12">
        <v>3.45</v>
      </c>
    </row>
    <row r="677" spans="1:17" x14ac:dyDescent="0.2">
      <c r="A677" t="s">
        <v>29</v>
      </c>
      <c r="B677" t="s">
        <v>30</v>
      </c>
      <c r="C677" s="5">
        <v>51057001.870000005</v>
      </c>
      <c r="D677" s="2">
        <v>44951</v>
      </c>
      <c r="E677" s="5">
        <f t="shared" si="13"/>
        <v>107219703.92700002</v>
      </c>
      <c r="F677" s="2">
        <v>44956</v>
      </c>
      <c r="G677" s="3" t="s">
        <v>617</v>
      </c>
      <c r="H677" t="s">
        <v>303</v>
      </c>
      <c r="I677" s="7">
        <v>49689</v>
      </c>
      <c r="J677" t="s">
        <v>20</v>
      </c>
      <c r="K677" s="12">
        <v>30900</v>
      </c>
      <c r="L677" t="s">
        <v>0</v>
      </c>
      <c r="M677" s="12">
        <v>540750</v>
      </c>
      <c r="N677" t="s">
        <v>1</v>
      </c>
      <c r="O677" s="12">
        <v>17.5</v>
      </c>
      <c r="P677" s="12">
        <v>106522.34</v>
      </c>
      <c r="Q677" s="12">
        <v>3.45</v>
      </c>
    </row>
    <row r="678" spans="1:17" x14ac:dyDescent="0.2">
      <c r="A678" t="s">
        <v>29</v>
      </c>
      <c r="B678" t="s">
        <v>30</v>
      </c>
      <c r="C678" s="5">
        <v>51057001.880000003</v>
      </c>
      <c r="D678" s="2">
        <v>44869</v>
      </c>
      <c r="E678" s="5">
        <f t="shared" si="13"/>
        <v>107219703.94800001</v>
      </c>
      <c r="F678" s="2">
        <v>44956</v>
      </c>
      <c r="G678" s="3" t="s">
        <v>618</v>
      </c>
      <c r="H678" t="s">
        <v>304</v>
      </c>
      <c r="I678" s="7">
        <v>70103</v>
      </c>
      <c r="J678" t="s">
        <v>28</v>
      </c>
      <c r="K678" s="12">
        <v>18</v>
      </c>
      <c r="L678" t="s">
        <v>2</v>
      </c>
      <c r="M678" s="12">
        <v>359699.4</v>
      </c>
      <c r="N678" t="s">
        <v>1</v>
      </c>
      <c r="O678" s="12">
        <v>19983.3</v>
      </c>
      <c r="P678" s="12">
        <v>83990.69</v>
      </c>
      <c r="Q678" s="12">
        <v>4666.1499999999996</v>
      </c>
    </row>
    <row r="679" spans="1:17" x14ac:dyDescent="0.2">
      <c r="A679" t="s">
        <v>29</v>
      </c>
      <c r="B679" t="s">
        <v>30</v>
      </c>
      <c r="C679" s="5">
        <v>51057002.130000003</v>
      </c>
      <c r="D679" s="2">
        <v>44952</v>
      </c>
      <c r="E679" s="5">
        <f t="shared" si="13"/>
        <v>107219704.473</v>
      </c>
      <c r="F679" s="2">
        <v>44956</v>
      </c>
      <c r="G679" s="3" t="s">
        <v>502</v>
      </c>
      <c r="H679" t="s">
        <v>201</v>
      </c>
      <c r="I679" s="7">
        <v>49689</v>
      </c>
      <c r="J679" t="s">
        <v>20</v>
      </c>
      <c r="K679" s="12">
        <v>30000</v>
      </c>
      <c r="L679" t="s">
        <v>0</v>
      </c>
      <c r="M679" s="12">
        <v>544998</v>
      </c>
      <c r="N679" t="s">
        <v>1</v>
      </c>
      <c r="O679" s="12">
        <v>18.170000000000002</v>
      </c>
      <c r="P679" s="12">
        <v>107359.15</v>
      </c>
      <c r="Q679" s="12">
        <v>3.58</v>
      </c>
    </row>
    <row r="680" spans="1:17" x14ac:dyDescent="0.2">
      <c r="A680" t="s">
        <v>29</v>
      </c>
      <c r="B680" t="s">
        <v>30</v>
      </c>
      <c r="C680" s="5">
        <v>51057002.160000004</v>
      </c>
      <c r="D680" s="2">
        <v>44952</v>
      </c>
      <c r="E680" s="5">
        <f t="shared" si="13"/>
        <v>107219704.53600001</v>
      </c>
      <c r="F680" s="2">
        <v>44956</v>
      </c>
      <c r="G680" s="3" t="s">
        <v>502</v>
      </c>
      <c r="H680" t="s">
        <v>201</v>
      </c>
      <c r="I680" s="7">
        <v>49689</v>
      </c>
      <c r="J680" t="s">
        <v>20</v>
      </c>
      <c r="K680" s="12">
        <v>30000</v>
      </c>
      <c r="L680" t="s">
        <v>0</v>
      </c>
      <c r="M680" s="12">
        <v>544998</v>
      </c>
      <c r="N680" t="s">
        <v>1</v>
      </c>
      <c r="O680" s="12">
        <v>18.170000000000002</v>
      </c>
      <c r="P680" s="12">
        <v>107359.15</v>
      </c>
      <c r="Q680" s="12">
        <v>3.58</v>
      </c>
    </row>
    <row r="681" spans="1:17" x14ac:dyDescent="0.2">
      <c r="A681" t="s">
        <v>29</v>
      </c>
      <c r="B681" t="s">
        <v>30</v>
      </c>
      <c r="C681" s="5">
        <v>51057003.280000001</v>
      </c>
      <c r="D681" s="2">
        <v>44952</v>
      </c>
      <c r="E681" s="5">
        <f t="shared" si="13"/>
        <v>107219706.88800001</v>
      </c>
      <c r="F681" s="2">
        <v>44956</v>
      </c>
      <c r="G681" s="3" t="s">
        <v>619</v>
      </c>
      <c r="H681" t="s">
        <v>305</v>
      </c>
      <c r="I681" s="7">
        <v>49689</v>
      </c>
      <c r="J681" t="s">
        <v>20</v>
      </c>
      <c r="K681" s="12">
        <v>8224.5</v>
      </c>
      <c r="L681" t="s">
        <v>0</v>
      </c>
      <c r="M681" s="12">
        <v>139652.01</v>
      </c>
      <c r="N681" t="s">
        <v>1</v>
      </c>
      <c r="O681" s="12">
        <v>16.98</v>
      </c>
      <c r="P681" s="12">
        <v>27510.05</v>
      </c>
      <c r="Q681" s="12">
        <v>3.34</v>
      </c>
    </row>
    <row r="682" spans="1:17" x14ac:dyDescent="0.2">
      <c r="A682" t="s">
        <v>29</v>
      </c>
      <c r="B682" t="s">
        <v>30</v>
      </c>
      <c r="C682" s="5">
        <v>51057004.219999999</v>
      </c>
      <c r="D682" s="2">
        <v>44952</v>
      </c>
      <c r="E682" s="5">
        <f t="shared" si="13"/>
        <v>107219708.862</v>
      </c>
      <c r="F682" s="2">
        <v>44956</v>
      </c>
      <c r="G682" s="3" t="s">
        <v>619</v>
      </c>
      <c r="H682" t="s">
        <v>305</v>
      </c>
      <c r="I682" s="7">
        <v>49689</v>
      </c>
      <c r="J682" t="s">
        <v>20</v>
      </c>
      <c r="K682" s="12">
        <v>8220</v>
      </c>
      <c r="L682" t="s">
        <v>0</v>
      </c>
      <c r="M682" s="12">
        <v>139575.6</v>
      </c>
      <c r="N682" t="s">
        <v>1</v>
      </c>
      <c r="O682" s="12">
        <v>16.98</v>
      </c>
      <c r="P682" s="12">
        <v>27495</v>
      </c>
      <c r="Q682" s="12">
        <v>3.34</v>
      </c>
    </row>
    <row r="683" spans="1:17" x14ac:dyDescent="0.2">
      <c r="A683" t="s">
        <v>29</v>
      </c>
      <c r="B683" t="s">
        <v>30</v>
      </c>
      <c r="C683" s="5">
        <v>51057006.68</v>
      </c>
      <c r="D683" s="2">
        <v>44953</v>
      </c>
      <c r="E683" s="5">
        <f t="shared" ref="E683:E740" si="14">C683*2.1</f>
        <v>107219714.028</v>
      </c>
      <c r="F683" s="2">
        <v>44956</v>
      </c>
      <c r="G683" s="3" t="s">
        <v>446</v>
      </c>
      <c r="H683" t="s">
        <v>150</v>
      </c>
      <c r="I683" s="7">
        <v>49689</v>
      </c>
      <c r="J683" t="s">
        <v>20</v>
      </c>
      <c r="K683" s="12">
        <v>6180</v>
      </c>
      <c r="L683" t="s">
        <v>0</v>
      </c>
      <c r="M683" s="12">
        <v>110821.82</v>
      </c>
      <c r="N683" t="s">
        <v>1</v>
      </c>
      <c r="O683" s="12">
        <v>17.93</v>
      </c>
      <c r="P683" s="12">
        <v>21828.04</v>
      </c>
      <c r="Q683" s="12">
        <v>3.53</v>
      </c>
    </row>
    <row r="684" spans="1:17" x14ac:dyDescent="0.2">
      <c r="A684" t="s">
        <v>29</v>
      </c>
      <c r="B684" t="s">
        <v>30</v>
      </c>
      <c r="C684" s="5">
        <v>51057006.689999998</v>
      </c>
      <c r="D684" s="2">
        <v>44953</v>
      </c>
      <c r="E684" s="5">
        <f t="shared" si="14"/>
        <v>107219714.04899999</v>
      </c>
      <c r="F684" s="2">
        <v>44956</v>
      </c>
      <c r="G684" s="3" t="s">
        <v>423</v>
      </c>
      <c r="H684" t="s">
        <v>128</v>
      </c>
      <c r="I684" s="7">
        <v>49689</v>
      </c>
      <c r="J684" t="s">
        <v>20</v>
      </c>
      <c r="K684" s="12">
        <v>15000</v>
      </c>
      <c r="L684" t="s">
        <v>0</v>
      </c>
      <c r="M684" s="12">
        <v>274250</v>
      </c>
      <c r="N684" t="s">
        <v>1</v>
      </c>
      <c r="O684" s="12">
        <v>18.28</v>
      </c>
      <c r="P684" s="12">
        <v>54024.51</v>
      </c>
      <c r="Q684" s="12">
        <v>3.6</v>
      </c>
    </row>
    <row r="685" spans="1:17" x14ac:dyDescent="0.2">
      <c r="A685" t="s">
        <v>29</v>
      </c>
      <c r="B685" t="s">
        <v>30</v>
      </c>
      <c r="C685" s="5">
        <v>51057006.700000003</v>
      </c>
      <c r="D685" s="2">
        <v>44952</v>
      </c>
      <c r="E685" s="5">
        <f t="shared" si="14"/>
        <v>107219714.07000001</v>
      </c>
      <c r="F685" s="2">
        <v>44956</v>
      </c>
      <c r="G685" s="3" t="s">
        <v>500</v>
      </c>
      <c r="H685" t="s">
        <v>199</v>
      </c>
      <c r="I685" s="7">
        <v>49689</v>
      </c>
      <c r="J685" t="s">
        <v>20</v>
      </c>
      <c r="K685" s="12">
        <v>25200</v>
      </c>
      <c r="L685" t="s">
        <v>0</v>
      </c>
      <c r="M685" s="12">
        <v>451500</v>
      </c>
      <c r="N685" t="s">
        <v>1</v>
      </c>
      <c r="O685" s="12">
        <v>17.920000000000002</v>
      </c>
      <c r="P685" s="12">
        <v>88940.98</v>
      </c>
      <c r="Q685" s="12">
        <v>3.53</v>
      </c>
    </row>
    <row r="686" spans="1:17" x14ac:dyDescent="0.2">
      <c r="A686" t="s">
        <v>29</v>
      </c>
      <c r="B686" t="s">
        <v>30</v>
      </c>
      <c r="C686" s="5">
        <v>51057007.82</v>
      </c>
      <c r="D686" s="2">
        <v>44952</v>
      </c>
      <c r="E686" s="5">
        <f t="shared" si="14"/>
        <v>107219716.42200001</v>
      </c>
      <c r="F686" s="2">
        <v>44956</v>
      </c>
      <c r="G686" s="3" t="s">
        <v>420</v>
      </c>
      <c r="H686" t="s">
        <v>125</v>
      </c>
      <c r="I686" s="7">
        <v>49689</v>
      </c>
      <c r="J686" t="s">
        <v>20</v>
      </c>
      <c r="K686" s="12">
        <v>15000</v>
      </c>
      <c r="L686" t="s">
        <v>0</v>
      </c>
      <c r="M686" s="12">
        <v>267500</v>
      </c>
      <c r="N686" t="s">
        <v>1</v>
      </c>
      <c r="O686" s="12">
        <v>17.829999999999998</v>
      </c>
      <c r="P686" s="12">
        <v>52694.69</v>
      </c>
      <c r="Q686" s="12">
        <v>3.51</v>
      </c>
    </row>
    <row r="687" spans="1:17" x14ac:dyDescent="0.2">
      <c r="A687" t="s">
        <v>29</v>
      </c>
      <c r="B687" t="s">
        <v>30</v>
      </c>
      <c r="C687" s="5">
        <v>51057007.840000004</v>
      </c>
      <c r="D687" s="2">
        <v>44952</v>
      </c>
      <c r="E687" s="5">
        <f t="shared" si="14"/>
        <v>107219716.46400002</v>
      </c>
      <c r="F687" s="2">
        <v>44956</v>
      </c>
      <c r="G687" s="3" t="s">
        <v>321</v>
      </c>
      <c r="H687" t="s">
        <v>31</v>
      </c>
      <c r="I687" s="7">
        <v>49689</v>
      </c>
      <c r="J687" t="s">
        <v>20</v>
      </c>
      <c r="K687" s="12">
        <v>11100</v>
      </c>
      <c r="L687" t="s">
        <v>0</v>
      </c>
      <c r="M687" s="12">
        <v>204635.9</v>
      </c>
      <c r="N687" t="s">
        <v>1</v>
      </c>
      <c r="O687" s="12">
        <v>18.440000000000001</v>
      </c>
      <c r="P687" s="12">
        <v>40320.639999999999</v>
      </c>
      <c r="Q687" s="12">
        <v>3.63</v>
      </c>
    </row>
    <row r="688" spans="1:17" x14ac:dyDescent="0.2">
      <c r="A688" t="s">
        <v>29</v>
      </c>
      <c r="B688" t="s">
        <v>30</v>
      </c>
      <c r="C688" s="5">
        <v>51057007.870000005</v>
      </c>
      <c r="D688" s="2">
        <v>44952</v>
      </c>
      <c r="E688" s="5">
        <f t="shared" si="14"/>
        <v>107219716.52700001</v>
      </c>
      <c r="F688" s="2">
        <v>44956</v>
      </c>
      <c r="G688" s="3" t="s">
        <v>420</v>
      </c>
      <c r="H688" t="s">
        <v>125</v>
      </c>
      <c r="I688" s="7">
        <v>49689</v>
      </c>
      <c r="J688" t="s">
        <v>20</v>
      </c>
      <c r="K688" s="12">
        <v>12000</v>
      </c>
      <c r="L688" t="s">
        <v>0</v>
      </c>
      <c r="M688" s="12">
        <v>214930</v>
      </c>
      <c r="N688" t="s">
        <v>1</v>
      </c>
      <c r="O688" s="12">
        <v>17.91</v>
      </c>
      <c r="P688" s="12">
        <v>42339.06</v>
      </c>
      <c r="Q688" s="12">
        <v>3.53</v>
      </c>
    </row>
    <row r="689" spans="1:17" x14ac:dyDescent="0.2">
      <c r="A689" t="s">
        <v>29</v>
      </c>
      <c r="B689" t="s">
        <v>30</v>
      </c>
      <c r="C689" s="5">
        <v>51057008.310000002</v>
      </c>
      <c r="D689" s="2">
        <v>44952</v>
      </c>
      <c r="E689" s="5">
        <f t="shared" si="14"/>
        <v>107219717.45100001</v>
      </c>
      <c r="F689" s="2">
        <v>44956</v>
      </c>
      <c r="G689" s="3" t="s">
        <v>620</v>
      </c>
      <c r="H689" t="s">
        <v>306</v>
      </c>
      <c r="I689" s="7">
        <v>49689</v>
      </c>
      <c r="J689" t="s">
        <v>20</v>
      </c>
      <c r="K689" s="12">
        <v>27240</v>
      </c>
      <c r="L689" t="s">
        <v>0</v>
      </c>
      <c r="M689" s="12">
        <v>497130</v>
      </c>
      <c r="N689" t="s">
        <v>1</v>
      </c>
      <c r="O689" s="12">
        <v>18.25</v>
      </c>
      <c r="P689" s="12">
        <v>97929.64</v>
      </c>
      <c r="Q689" s="12">
        <v>3.6</v>
      </c>
    </row>
    <row r="690" spans="1:17" x14ac:dyDescent="0.2">
      <c r="A690" t="s">
        <v>29</v>
      </c>
      <c r="B690" t="s">
        <v>30</v>
      </c>
      <c r="C690" s="5">
        <v>51057008.32</v>
      </c>
      <c r="D690" s="2">
        <v>44952</v>
      </c>
      <c r="E690" s="5">
        <f t="shared" si="14"/>
        <v>107219717.472</v>
      </c>
      <c r="F690" s="2">
        <v>44956</v>
      </c>
      <c r="G690" s="3" t="s">
        <v>620</v>
      </c>
      <c r="H690" t="s">
        <v>306</v>
      </c>
      <c r="I690" s="7">
        <v>49689</v>
      </c>
      <c r="J690" t="s">
        <v>20</v>
      </c>
      <c r="K690" s="12">
        <v>27240</v>
      </c>
      <c r="L690" t="s">
        <v>0</v>
      </c>
      <c r="M690" s="12">
        <v>497130</v>
      </c>
      <c r="N690" t="s">
        <v>1</v>
      </c>
      <c r="O690" s="12">
        <v>18.25</v>
      </c>
      <c r="P690" s="12">
        <v>97929.64</v>
      </c>
      <c r="Q690" s="12">
        <v>3.6</v>
      </c>
    </row>
    <row r="691" spans="1:17" x14ac:dyDescent="0.2">
      <c r="A691" t="s">
        <v>29</v>
      </c>
      <c r="B691" t="s">
        <v>30</v>
      </c>
      <c r="C691" s="5">
        <v>51057008.329999998</v>
      </c>
      <c r="D691" s="2">
        <v>44951</v>
      </c>
      <c r="E691" s="5">
        <f t="shared" si="14"/>
        <v>107219717.493</v>
      </c>
      <c r="F691" s="2">
        <v>44956</v>
      </c>
      <c r="G691" s="3" t="s">
        <v>621</v>
      </c>
      <c r="H691" t="s">
        <v>307</v>
      </c>
      <c r="I691" s="7">
        <v>49689</v>
      </c>
      <c r="J691" t="s">
        <v>20</v>
      </c>
      <c r="K691" s="12">
        <v>16200</v>
      </c>
      <c r="L691" t="s">
        <v>0</v>
      </c>
      <c r="M691" s="12">
        <v>288900</v>
      </c>
      <c r="N691" t="s">
        <v>1</v>
      </c>
      <c r="O691" s="12">
        <v>17.829999999999998</v>
      </c>
      <c r="P691" s="12">
        <v>56910.41</v>
      </c>
      <c r="Q691" s="12">
        <v>3.51</v>
      </c>
    </row>
    <row r="692" spans="1:17" x14ac:dyDescent="0.2">
      <c r="A692" t="s">
        <v>29</v>
      </c>
      <c r="B692" t="s">
        <v>30</v>
      </c>
      <c r="C692" s="5">
        <v>51057008.340000004</v>
      </c>
      <c r="D692" s="2">
        <v>44953</v>
      </c>
      <c r="E692" s="5">
        <f t="shared" si="14"/>
        <v>107219717.51400001</v>
      </c>
      <c r="F692" s="2">
        <v>44956</v>
      </c>
      <c r="G692" s="3" t="s">
        <v>328</v>
      </c>
      <c r="H692" t="s">
        <v>38</v>
      </c>
      <c r="I692" s="7">
        <v>49689</v>
      </c>
      <c r="J692" t="s">
        <v>20</v>
      </c>
      <c r="K692" s="12">
        <v>13800</v>
      </c>
      <c r="L692" t="s">
        <v>0</v>
      </c>
      <c r="M692" s="12">
        <v>246100.92</v>
      </c>
      <c r="N692" t="s">
        <v>1</v>
      </c>
      <c r="O692" s="12">
        <v>17.829999999999998</v>
      </c>
      <c r="P692" s="12">
        <v>48479.42</v>
      </c>
      <c r="Q692" s="12">
        <v>3.51</v>
      </c>
    </row>
    <row r="693" spans="1:17" x14ac:dyDescent="0.2">
      <c r="A693" t="s">
        <v>29</v>
      </c>
      <c r="B693" t="s">
        <v>30</v>
      </c>
      <c r="C693" s="5">
        <v>51057009.730000004</v>
      </c>
      <c r="D693" s="2">
        <v>44953</v>
      </c>
      <c r="E693" s="5">
        <f t="shared" si="14"/>
        <v>107219720.43300001</v>
      </c>
      <c r="F693" s="2">
        <v>44956</v>
      </c>
      <c r="G693" s="3" t="s">
        <v>498</v>
      </c>
      <c r="H693" t="s">
        <v>197</v>
      </c>
      <c r="I693" s="7">
        <v>49689</v>
      </c>
      <c r="J693" t="s">
        <v>20</v>
      </c>
      <c r="K693" s="12">
        <v>6000</v>
      </c>
      <c r="L693" t="s">
        <v>0</v>
      </c>
      <c r="M693" s="12">
        <v>109117</v>
      </c>
      <c r="N693" t="s">
        <v>1</v>
      </c>
      <c r="O693" s="12">
        <v>18.190000000000001</v>
      </c>
      <c r="P693" s="12">
        <v>21494.959999999999</v>
      </c>
      <c r="Q693" s="12">
        <v>3.58</v>
      </c>
    </row>
    <row r="694" spans="1:17" x14ac:dyDescent="0.2">
      <c r="A694" t="s">
        <v>29</v>
      </c>
      <c r="B694" t="s">
        <v>30</v>
      </c>
      <c r="C694" s="5">
        <v>51057009.759999998</v>
      </c>
      <c r="D694" s="2">
        <v>44953</v>
      </c>
      <c r="E694" s="5">
        <f t="shared" si="14"/>
        <v>107219720.49600001</v>
      </c>
      <c r="F694" s="2">
        <v>44956</v>
      </c>
      <c r="G694" s="3" t="s">
        <v>420</v>
      </c>
      <c r="H694" t="s">
        <v>125</v>
      </c>
      <c r="I694" s="7">
        <v>49689</v>
      </c>
      <c r="J694" t="s">
        <v>20</v>
      </c>
      <c r="K694" s="12">
        <v>6180</v>
      </c>
      <c r="L694" t="s">
        <v>0</v>
      </c>
      <c r="M694" s="12">
        <v>114942.85</v>
      </c>
      <c r="N694" t="s">
        <v>1</v>
      </c>
      <c r="O694" s="12">
        <v>18.600000000000001</v>
      </c>
      <c r="P694" s="12">
        <v>22642.59</v>
      </c>
      <c r="Q694" s="12">
        <v>3.66</v>
      </c>
    </row>
    <row r="695" spans="1:17" x14ac:dyDescent="0.2">
      <c r="A695" t="s">
        <v>29</v>
      </c>
      <c r="B695" t="s">
        <v>30</v>
      </c>
      <c r="C695" s="5">
        <v>51057012.359999999</v>
      </c>
      <c r="D695" s="2">
        <v>44947</v>
      </c>
      <c r="E695" s="5">
        <f t="shared" si="14"/>
        <v>107219725.956</v>
      </c>
      <c r="F695" s="2">
        <v>44956</v>
      </c>
      <c r="G695" s="3" t="s">
        <v>410</v>
      </c>
      <c r="H695" t="s">
        <v>115</v>
      </c>
      <c r="I695" s="7">
        <v>35333</v>
      </c>
      <c r="J695" t="s">
        <v>22</v>
      </c>
      <c r="K695" s="12">
        <v>17.559999999999999</v>
      </c>
      <c r="L695" t="s">
        <v>2</v>
      </c>
      <c r="M695" s="12">
        <v>237880.93</v>
      </c>
      <c r="N695" t="s">
        <v>1</v>
      </c>
      <c r="O695" s="12">
        <v>13546.75</v>
      </c>
      <c r="P695" s="12">
        <v>46860.160000000003</v>
      </c>
      <c r="Q695" s="12">
        <v>2668.57</v>
      </c>
    </row>
    <row r="696" spans="1:17" x14ac:dyDescent="0.2">
      <c r="A696" t="s">
        <v>29</v>
      </c>
      <c r="B696" t="s">
        <v>30</v>
      </c>
      <c r="C696" s="5">
        <v>51057013.109999999</v>
      </c>
      <c r="D696" s="2">
        <v>44951</v>
      </c>
      <c r="E696" s="5">
        <f t="shared" si="14"/>
        <v>107219727.531</v>
      </c>
      <c r="F696" s="2">
        <v>44956</v>
      </c>
      <c r="G696" s="3" t="s">
        <v>622</v>
      </c>
      <c r="H696" t="s">
        <v>308</v>
      </c>
      <c r="I696" s="7">
        <v>49689</v>
      </c>
      <c r="J696" t="s">
        <v>20</v>
      </c>
      <c r="K696" s="12">
        <v>30000</v>
      </c>
      <c r="L696" t="s">
        <v>0</v>
      </c>
      <c r="M696" s="12">
        <v>533940</v>
      </c>
      <c r="N696" t="s">
        <v>1</v>
      </c>
      <c r="O696" s="12">
        <v>17.8</v>
      </c>
      <c r="P696" s="12">
        <v>105180.84</v>
      </c>
      <c r="Q696" s="12">
        <v>3.51</v>
      </c>
    </row>
    <row r="697" spans="1:17" x14ac:dyDescent="0.2">
      <c r="A697" t="s">
        <v>29</v>
      </c>
      <c r="B697" t="s">
        <v>30</v>
      </c>
      <c r="C697" s="5">
        <v>51057013.43</v>
      </c>
      <c r="D697" s="2">
        <v>44951</v>
      </c>
      <c r="E697" s="5">
        <f t="shared" si="14"/>
        <v>107219728.20300001</v>
      </c>
      <c r="F697" s="2">
        <v>44956</v>
      </c>
      <c r="G697" s="3" t="s">
        <v>622</v>
      </c>
      <c r="H697" t="s">
        <v>308</v>
      </c>
      <c r="I697" s="7">
        <v>49689</v>
      </c>
      <c r="J697" t="s">
        <v>20</v>
      </c>
      <c r="K697" s="12">
        <v>30000</v>
      </c>
      <c r="L697" t="s">
        <v>0</v>
      </c>
      <c r="M697" s="12">
        <v>533940</v>
      </c>
      <c r="N697" t="s">
        <v>1</v>
      </c>
      <c r="O697" s="12">
        <v>17.8</v>
      </c>
      <c r="P697" s="12">
        <v>105180.84</v>
      </c>
      <c r="Q697" s="12">
        <v>3.51</v>
      </c>
    </row>
    <row r="698" spans="1:17" x14ac:dyDescent="0.2">
      <c r="A698" t="s">
        <v>29</v>
      </c>
      <c r="B698" t="s">
        <v>30</v>
      </c>
      <c r="C698" s="5">
        <v>51057013.520000003</v>
      </c>
      <c r="D698" s="2">
        <v>44956</v>
      </c>
      <c r="E698" s="5">
        <f t="shared" si="14"/>
        <v>107219728.392</v>
      </c>
      <c r="F698" s="2">
        <v>44956</v>
      </c>
      <c r="G698" s="3" t="s">
        <v>326</v>
      </c>
      <c r="H698" t="s">
        <v>36</v>
      </c>
      <c r="I698" s="7">
        <v>35333</v>
      </c>
      <c r="J698" t="s">
        <v>22</v>
      </c>
      <c r="K698" s="12">
        <v>3.8879999999999999</v>
      </c>
      <c r="L698" t="s">
        <v>2</v>
      </c>
      <c r="M698" s="12">
        <v>48907.64</v>
      </c>
      <c r="N698" t="s">
        <v>1</v>
      </c>
      <c r="O698" s="12">
        <v>12579.13</v>
      </c>
      <c r="P698" s="12">
        <v>9634.31</v>
      </c>
      <c r="Q698" s="12">
        <v>2477.96</v>
      </c>
    </row>
    <row r="699" spans="1:17" x14ac:dyDescent="0.2">
      <c r="A699" t="s">
        <v>29</v>
      </c>
      <c r="B699" t="s">
        <v>30</v>
      </c>
      <c r="C699" s="5">
        <v>51057013.880000003</v>
      </c>
      <c r="D699" s="2">
        <v>44953</v>
      </c>
      <c r="E699" s="5">
        <f t="shared" si="14"/>
        <v>107219729.14800002</v>
      </c>
      <c r="F699" s="2">
        <v>44956</v>
      </c>
      <c r="G699" s="3" t="s">
        <v>623</v>
      </c>
      <c r="H699" t="s">
        <v>309</v>
      </c>
      <c r="I699" s="7">
        <v>49689</v>
      </c>
      <c r="J699" t="s">
        <v>20</v>
      </c>
      <c r="K699" s="12">
        <v>1800</v>
      </c>
      <c r="L699" t="s">
        <v>0</v>
      </c>
      <c r="M699" s="12">
        <v>29778.87</v>
      </c>
      <c r="N699" t="s">
        <v>1</v>
      </c>
      <c r="O699" s="12">
        <v>16.54</v>
      </c>
      <c r="P699" s="12">
        <v>5866.14</v>
      </c>
      <c r="Q699" s="12">
        <v>3.26</v>
      </c>
    </row>
    <row r="700" spans="1:17" x14ac:dyDescent="0.2">
      <c r="A700" t="s">
        <v>29</v>
      </c>
      <c r="B700" t="s">
        <v>30</v>
      </c>
      <c r="C700" s="5">
        <v>51057014.030000001</v>
      </c>
      <c r="D700" s="2">
        <v>44951</v>
      </c>
      <c r="E700" s="5">
        <f t="shared" si="14"/>
        <v>107219729.46300001</v>
      </c>
      <c r="F700" s="2">
        <v>44956</v>
      </c>
      <c r="G700" s="3" t="s">
        <v>624</v>
      </c>
      <c r="H700" t="s">
        <v>310</v>
      </c>
      <c r="I700" s="7">
        <v>49689</v>
      </c>
      <c r="J700" t="s">
        <v>20</v>
      </c>
      <c r="K700" s="12">
        <v>3318.6</v>
      </c>
      <c r="L700" t="s">
        <v>0</v>
      </c>
      <c r="M700" s="12">
        <v>54723.71</v>
      </c>
      <c r="N700" t="s">
        <v>1</v>
      </c>
      <c r="O700" s="12">
        <v>16.489999999999998</v>
      </c>
      <c r="P700" s="12">
        <v>10780.02</v>
      </c>
      <c r="Q700" s="12">
        <v>3.25</v>
      </c>
    </row>
    <row r="701" spans="1:17" x14ac:dyDescent="0.2">
      <c r="A701" t="s">
        <v>29</v>
      </c>
      <c r="B701" t="s">
        <v>30</v>
      </c>
      <c r="C701" s="5">
        <v>51057014.079999998</v>
      </c>
      <c r="D701" s="2">
        <v>44952</v>
      </c>
      <c r="E701" s="5">
        <f t="shared" si="14"/>
        <v>107219729.568</v>
      </c>
      <c r="F701" s="2">
        <v>44956</v>
      </c>
      <c r="G701" s="3" t="s">
        <v>572</v>
      </c>
      <c r="H701" t="s">
        <v>260</v>
      </c>
      <c r="I701" s="7">
        <v>49689</v>
      </c>
      <c r="J701" t="s">
        <v>20</v>
      </c>
      <c r="K701" s="12">
        <v>30000</v>
      </c>
      <c r="L701" t="s">
        <v>0</v>
      </c>
      <c r="M701" s="12">
        <v>517205</v>
      </c>
      <c r="N701" t="s">
        <v>1</v>
      </c>
      <c r="O701" s="12">
        <v>17.239999999999998</v>
      </c>
      <c r="P701" s="12">
        <v>101884.21</v>
      </c>
      <c r="Q701" s="12">
        <v>3.4</v>
      </c>
    </row>
    <row r="702" spans="1:17" x14ac:dyDescent="0.2">
      <c r="A702" t="s">
        <v>29</v>
      </c>
      <c r="B702" t="s">
        <v>30</v>
      </c>
      <c r="C702" s="5">
        <v>51057014.100000001</v>
      </c>
      <c r="D702" s="2">
        <v>44953</v>
      </c>
      <c r="E702" s="5">
        <f t="shared" si="14"/>
        <v>107219729.61000001</v>
      </c>
      <c r="F702" s="2">
        <v>44956</v>
      </c>
      <c r="G702" s="3" t="s">
        <v>472</v>
      </c>
      <c r="H702" t="s">
        <v>175</v>
      </c>
      <c r="I702" s="7">
        <v>49689</v>
      </c>
      <c r="J702" t="s">
        <v>20</v>
      </c>
      <c r="K702" s="12">
        <v>4200</v>
      </c>
      <c r="L702" t="s">
        <v>0</v>
      </c>
      <c r="M702" s="12">
        <v>74690</v>
      </c>
      <c r="N702" t="s">
        <v>1</v>
      </c>
      <c r="O702" s="12">
        <v>17.78</v>
      </c>
      <c r="P702" s="12">
        <v>14710.42</v>
      </c>
      <c r="Q702" s="12">
        <v>3.5</v>
      </c>
    </row>
    <row r="703" spans="1:17" x14ac:dyDescent="0.2">
      <c r="A703" t="s">
        <v>29</v>
      </c>
      <c r="B703" t="s">
        <v>30</v>
      </c>
      <c r="C703" s="5">
        <v>51057014.130000003</v>
      </c>
      <c r="D703" s="2">
        <v>44953</v>
      </c>
      <c r="E703" s="5">
        <f t="shared" si="14"/>
        <v>107219729.67300001</v>
      </c>
      <c r="F703" s="2">
        <v>44956</v>
      </c>
      <c r="G703" s="3" t="s">
        <v>472</v>
      </c>
      <c r="H703" t="s">
        <v>175</v>
      </c>
      <c r="I703" s="7">
        <v>49689</v>
      </c>
      <c r="J703" t="s">
        <v>20</v>
      </c>
      <c r="K703" s="12">
        <v>2700</v>
      </c>
      <c r="L703" t="s">
        <v>0</v>
      </c>
      <c r="M703" s="12">
        <v>49583.7</v>
      </c>
      <c r="N703" t="s">
        <v>1</v>
      </c>
      <c r="O703" s="12">
        <v>18.36</v>
      </c>
      <c r="P703" s="12">
        <v>9765.42</v>
      </c>
      <c r="Q703" s="12">
        <v>3.62</v>
      </c>
    </row>
    <row r="704" spans="1:17" x14ac:dyDescent="0.2">
      <c r="A704" t="s">
        <v>29</v>
      </c>
      <c r="B704" t="s">
        <v>30</v>
      </c>
      <c r="C704" s="5">
        <v>51057014.480000004</v>
      </c>
      <c r="D704" s="2">
        <v>44951</v>
      </c>
      <c r="E704" s="5">
        <f t="shared" si="14"/>
        <v>107219730.40800001</v>
      </c>
      <c r="F704" s="2">
        <v>44956</v>
      </c>
      <c r="G704" s="3" t="s">
        <v>625</v>
      </c>
      <c r="H704" t="s">
        <v>311</v>
      </c>
      <c r="I704" s="7">
        <v>49689</v>
      </c>
      <c r="J704" t="s">
        <v>20</v>
      </c>
      <c r="K704" s="12">
        <v>7740</v>
      </c>
      <c r="L704" t="s">
        <v>0</v>
      </c>
      <c r="M704" s="12">
        <v>136222.71</v>
      </c>
      <c r="N704" t="s">
        <v>1</v>
      </c>
      <c r="O704" s="12">
        <v>17.600000000000001</v>
      </c>
      <c r="P704" s="12">
        <v>26834.51</v>
      </c>
      <c r="Q704" s="12">
        <v>3.47</v>
      </c>
    </row>
    <row r="705" spans="1:17" x14ac:dyDescent="0.2">
      <c r="A705" t="s">
        <v>29</v>
      </c>
      <c r="B705" t="s">
        <v>30</v>
      </c>
      <c r="C705" s="5">
        <v>51057014.5</v>
      </c>
      <c r="D705" s="2">
        <v>44945</v>
      </c>
      <c r="E705" s="5">
        <f t="shared" si="14"/>
        <v>107219730.45</v>
      </c>
      <c r="F705" s="2">
        <v>44956</v>
      </c>
      <c r="G705" s="3" t="s">
        <v>349</v>
      </c>
      <c r="H705" t="s">
        <v>58</v>
      </c>
      <c r="I705" s="7">
        <v>35334</v>
      </c>
      <c r="J705" t="s">
        <v>24</v>
      </c>
      <c r="K705" s="12">
        <v>15</v>
      </c>
      <c r="L705" t="s">
        <v>2</v>
      </c>
      <c r="M705" s="12">
        <v>204652.69</v>
      </c>
      <c r="N705" t="s">
        <v>1</v>
      </c>
      <c r="O705" s="12">
        <v>13643.51</v>
      </c>
      <c r="P705" s="12">
        <v>42582.15</v>
      </c>
      <c r="Q705" s="12">
        <v>2838.81</v>
      </c>
    </row>
    <row r="706" spans="1:17" x14ac:dyDescent="0.2">
      <c r="A706" t="s">
        <v>29</v>
      </c>
      <c r="B706" t="s">
        <v>30</v>
      </c>
      <c r="C706" s="5">
        <v>51057015.410000004</v>
      </c>
      <c r="D706" s="2">
        <v>44951</v>
      </c>
      <c r="E706" s="5">
        <f t="shared" si="14"/>
        <v>107219732.36100002</v>
      </c>
      <c r="F706" s="2">
        <v>44956</v>
      </c>
      <c r="G706" s="3" t="s">
        <v>626</v>
      </c>
      <c r="H706" t="s">
        <v>312</v>
      </c>
      <c r="I706" s="7">
        <v>49689</v>
      </c>
      <c r="J706" t="s">
        <v>20</v>
      </c>
      <c r="K706" s="12">
        <v>27120</v>
      </c>
      <c r="L706" t="s">
        <v>0</v>
      </c>
      <c r="M706" s="12">
        <v>474600</v>
      </c>
      <c r="N706" t="s">
        <v>1</v>
      </c>
      <c r="O706" s="12">
        <v>17.5</v>
      </c>
      <c r="P706" s="12">
        <v>93491.45</v>
      </c>
      <c r="Q706" s="12">
        <v>3.45</v>
      </c>
    </row>
    <row r="707" spans="1:17" x14ac:dyDescent="0.2">
      <c r="A707" t="s">
        <v>29</v>
      </c>
      <c r="B707" t="s">
        <v>30</v>
      </c>
      <c r="C707" s="5">
        <v>51057015.43</v>
      </c>
      <c r="D707" s="2">
        <v>44951</v>
      </c>
      <c r="E707" s="5">
        <f t="shared" si="14"/>
        <v>107219732.403</v>
      </c>
      <c r="F707" s="2">
        <v>44956</v>
      </c>
      <c r="G707" s="3" t="s">
        <v>626</v>
      </c>
      <c r="H707" t="s">
        <v>312</v>
      </c>
      <c r="I707" s="7">
        <v>49689</v>
      </c>
      <c r="J707" t="s">
        <v>20</v>
      </c>
      <c r="K707" s="12">
        <v>27120</v>
      </c>
      <c r="L707" t="s">
        <v>0</v>
      </c>
      <c r="M707" s="12">
        <v>474600</v>
      </c>
      <c r="N707" t="s">
        <v>1</v>
      </c>
      <c r="O707" s="12">
        <v>17.5</v>
      </c>
      <c r="P707" s="12">
        <v>93491.45</v>
      </c>
      <c r="Q707" s="12">
        <v>3.45</v>
      </c>
    </row>
    <row r="708" spans="1:17" x14ac:dyDescent="0.2">
      <c r="A708" t="s">
        <v>29</v>
      </c>
      <c r="B708" t="s">
        <v>30</v>
      </c>
      <c r="C708" s="5">
        <v>51057015.469999999</v>
      </c>
      <c r="D708" s="2">
        <v>44917</v>
      </c>
      <c r="E708" s="5">
        <f t="shared" si="14"/>
        <v>107219732.487</v>
      </c>
      <c r="F708" s="2">
        <v>44956</v>
      </c>
      <c r="G708" s="3" t="s">
        <v>342</v>
      </c>
      <c r="H708" t="s">
        <v>52</v>
      </c>
      <c r="I708" s="7">
        <v>35334</v>
      </c>
      <c r="J708" t="s">
        <v>24</v>
      </c>
      <c r="K708" s="12">
        <v>3</v>
      </c>
      <c r="L708" t="s">
        <v>2</v>
      </c>
      <c r="M708" s="12">
        <v>43339.93</v>
      </c>
      <c r="N708" t="s">
        <v>1</v>
      </c>
      <c r="O708" s="12">
        <v>14446.64</v>
      </c>
      <c r="P708" s="12">
        <v>8508.59</v>
      </c>
      <c r="Q708" s="12">
        <v>2836.2</v>
      </c>
    </row>
    <row r="709" spans="1:17" x14ac:dyDescent="0.2">
      <c r="A709" t="s">
        <v>29</v>
      </c>
      <c r="B709" t="s">
        <v>30</v>
      </c>
      <c r="C709" s="5">
        <v>51057015.620000005</v>
      </c>
      <c r="D709" s="2">
        <v>44952</v>
      </c>
      <c r="E709" s="5">
        <f t="shared" si="14"/>
        <v>107219732.80200002</v>
      </c>
      <c r="F709" s="2">
        <v>44956</v>
      </c>
      <c r="G709" s="3" t="s">
        <v>335</v>
      </c>
      <c r="H709" t="s">
        <v>45</v>
      </c>
      <c r="I709" s="7">
        <v>35334</v>
      </c>
      <c r="J709" t="s">
        <v>24</v>
      </c>
      <c r="K709" s="12">
        <v>15</v>
      </c>
      <c r="L709" t="s">
        <v>2</v>
      </c>
      <c r="M709" s="12">
        <v>207990.99</v>
      </c>
      <c r="N709" t="s">
        <v>1</v>
      </c>
      <c r="O709" s="12">
        <v>13866.07</v>
      </c>
      <c r="P709" s="12">
        <v>28495.81</v>
      </c>
      <c r="Q709" s="12">
        <v>1899.72</v>
      </c>
    </row>
    <row r="710" spans="1:17" x14ac:dyDescent="0.2">
      <c r="A710" t="s">
        <v>29</v>
      </c>
      <c r="B710" t="s">
        <v>30</v>
      </c>
      <c r="C710" s="5">
        <v>51057015.670000002</v>
      </c>
      <c r="D710" s="2">
        <v>44954</v>
      </c>
      <c r="E710" s="5">
        <f t="shared" si="14"/>
        <v>107219732.90700001</v>
      </c>
      <c r="F710" s="2">
        <v>44956</v>
      </c>
      <c r="G710" s="3" t="s">
        <v>510</v>
      </c>
      <c r="H710" t="s">
        <v>209</v>
      </c>
      <c r="I710" s="7">
        <v>35334</v>
      </c>
      <c r="J710" t="s">
        <v>24</v>
      </c>
      <c r="K710" s="12">
        <v>16.483000000000001</v>
      </c>
      <c r="L710" t="s">
        <v>2</v>
      </c>
      <c r="M710" s="12">
        <v>159501.38</v>
      </c>
      <c r="N710" t="s">
        <v>1</v>
      </c>
      <c r="O710" s="12">
        <v>9676.7199999999993</v>
      </c>
      <c r="P710" s="12">
        <v>31306.7</v>
      </c>
      <c r="Q710" s="12">
        <v>1899.33</v>
      </c>
    </row>
    <row r="711" spans="1:17" x14ac:dyDescent="0.2">
      <c r="A711" t="s">
        <v>29</v>
      </c>
      <c r="B711" t="s">
        <v>30</v>
      </c>
      <c r="C711" s="5">
        <v>51057016.120000005</v>
      </c>
      <c r="D711" s="2">
        <v>44950</v>
      </c>
      <c r="E711" s="5">
        <f t="shared" si="14"/>
        <v>107219733.85200001</v>
      </c>
      <c r="F711" s="2">
        <v>44956</v>
      </c>
      <c r="G711" s="3" t="s">
        <v>627</v>
      </c>
      <c r="H711" t="s">
        <v>313</v>
      </c>
      <c r="I711" s="7">
        <v>35334</v>
      </c>
      <c r="J711" t="s">
        <v>24</v>
      </c>
      <c r="K711" s="12">
        <v>3.6</v>
      </c>
      <c r="L711" t="s">
        <v>2</v>
      </c>
      <c r="M711" s="12">
        <v>53401.29</v>
      </c>
      <c r="N711" t="s">
        <v>1</v>
      </c>
      <c r="O711" s="12">
        <v>14833.69</v>
      </c>
      <c r="P711" s="12">
        <v>10483.799999999999</v>
      </c>
      <c r="Q711" s="12">
        <v>2912.17</v>
      </c>
    </row>
    <row r="712" spans="1:17" x14ac:dyDescent="0.2">
      <c r="A712" t="s">
        <v>29</v>
      </c>
      <c r="B712" t="s">
        <v>30</v>
      </c>
      <c r="C712" s="5">
        <v>51057016.170000002</v>
      </c>
      <c r="D712" s="2">
        <v>44945</v>
      </c>
      <c r="E712" s="5">
        <f t="shared" si="14"/>
        <v>107219733.957</v>
      </c>
      <c r="F712" s="2">
        <v>44956</v>
      </c>
      <c r="G712" s="3" t="s">
        <v>628</v>
      </c>
      <c r="H712" t="s">
        <v>314</v>
      </c>
      <c r="I712" s="7">
        <v>35335</v>
      </c>
      <c r="J712" t="s">
        <v>25</v>
      </c>
      <c r="K712" s="12">
        <v>8.94</v>
      </c>
      <c r="L712" t="s">
        <v>2</v>
      </c>
      <c r="M712" s="12">
        <v>128140.04</v>
      </c>
      <c r="N712" t="s">
        <v>1</v>
      </c>
      <c r="O712" s="12">
        <v>14333.34</v>
      </c>
      <c r="P712" s="12">
        <v>24468.22</v>
      </c>
      <c r="Q712" s="12">
        <v>2736.94</v>
      </c>
    </row>
    <row r="713" spans="1:17" x14ac:dyDescent="0.2">
      <c r="A713" t="s">
        <v>29</v>
      </c>
      <c r="B713" t="s">
        <v>30</v>
      </c>
      <c r="C713" s="5">
        <v>51057016.219999999</v>
      </c>
      <c r="D713" s="2">
        <v>44951</v>
      </c>
      <c r="E713" s="5">
        <f t="shared" si="14"/>
        <v>107219734.06200001</v>
      </c>
      <c r="F713" s="2">
        <v>44956</v>
      </c>
      <c r="G713" s="3" t="s">
        <v>575</v>
      </c>
      <c r="H713" t="s">
        <v>263</v>
      </c>
      <c r="I713" s="7">
        <v>49689</v>
      </c>
      <c r="J713" t="s">
        <v>20</v>
      </c>
      <c r="K713" s="12">
        <v>13200</v>
      </c>
      <c r="L713" t="s">
        <v>0</v>
      </c>
      <c r="M713" s="12">
        <v>236676</v>
      </c>
      <c r="N713" t="s">
        <v>1</v>
      </c>
      <c r="O713" s="12">
        <v>17.93</v>
      </c>
      <c r="P713" s="12">
        <v>46622.8</v>
      </c>
      <c r="Q713" s="12">
        <v>3.53</v>
      </c>
    </row>
    <row r="714" spans="1:17" x14ac:dyDescent="0.2">
      <c r="A714" t="s">
        <v>29</v>
      </c>
      <c r="B714" t="s">
        <v>30</v>
      </c>
      <c r="C714" s="5">
        <v>51057016.359999999</v>
      </c>
      <c r="D714" s="2">
        <v>44953</v>
      </c>
      <c r="E714" s="5">
        <f t="shared" si="14"/>
        <v>107219734.35600001</v>
      </c>
      <c r="F714" s="2">
        <v>44956</v>
      </c>
      <c r="G714" s="3" t="s">
        <v>629</v>
      </c>
      <c r="H714" t="s">
        <v>315</v>
      </c>
      <c r="I714" s="7">
        <v>49738</v>
      </c>
      <c r="J714" t="s">
        <v>21</v>
      </c>
      <c r="K714" s="12">
        <v>3000</v>
      </c>
      <c r="L714" t="s">
        <v>0</v>
      </c>
      <c r="M714" s="12">
        <v>33250</v>
      </c>
      <c r="N714" t="s">
        <v>1</v>
      </c>
      <c r="O714" s="12">
        <v>11.08</v>
      </c>
      <c r="P714" s="12">
        <v>6549.92</v>
      </c>
      <c r="Q714" s="12">
        <v>2.1800000000000002</v>
      </c>
    </row>
    <row r="715" spans="1:17" x14ac:dyDescent="0.2">
      <c r="A715" t="s">
        <v>29</v>
      </c>
      <c r="B715" t="s">
        <v>30</v>
      </c>
      <c r="C715" s="5">
        <v>51057016.539999999</v>
      </c>
      <c r="D715" s="2">
        <v>44956</v>
      </c>
      <c r="E715" s="5">
        <f t="shared" si="14"/>
        <v>107219734.734</v>
      </c>
      <c r="F715" s="2">
        <v>44956</v>
      </c>
      <c r="G715" s="3" t="s">
        <v>365</v>
      </c>
      <c r="H715" t="s">
        <v>74</v>
      </c>
      <c r="I715" s="7">
        <v>35334</v>
      </c>
      <c r="J715" t="s">
        <v>24</v>
      </c>
      <c r="K715" s="12">
        <v>24</v>
      </c>
      <c r="L715" t="s">
        <v>2</v>
      </c>
      <c r="M715" s="12">
        <v>232230</v>
      </c>
      <c r="N715" t="s">
        <v>1</v>
      </c>
      <c r="O715" s="12">
        <v>9676.25</v>
      </c>
      <c r="P715" s="12">
        <v>45585.9</v>
      </c>
      <c r="Q715" s="12">
        <v>1899.41</v>
      </c>
    </row>
    <row r="716" spans="1:17" x14ac:dyDescent="0.2">
      <c r="A716" t="s">
        <v>29</v>
      </c>
      <c r="B716" t="s">
        <v>30</v>
      </c>
      <c r="C716" s="5">
        <v>51057016.560000002</v>
      </c>
      <c r="D716" s="2">
        <v>44938</v>
      </c>
      <c r="E716" s="5">
        <f t="shared" si="14"/>
        <v>107219734.77600001</v>
      </c>
      <c r="F716" s="2">
        <v>44956</v>
      </c>
      <c r="G716" s="3" t="s">
        <v>628</v>
      </c>
      <c r="H716" t="s">
        <v>314</v>
      </c>
      <c r="I716" s="7">
        <v>35335</v>
      </c>
      <c r="J716" t="s">
        <v>25</v>
      </c>
      <c r="K716" s="12">
        <v>6.06</v>
      </c>
      <c r="L716" t="s">
        <v>2</v>
      </c>
      <c r="M716" s="12">
        <v>87579.16</v>
      </c>
      <c r="N716" t="s">
        <v>1</v>
      </c>
      <c r="O716" s="12">
        <v>14452.01</v>
      </c>
      <c r="P716" s="12">
        <v>16711.82</v>
      </c>
      <c r="Q716" s="12">
        <v>2757.73</v>
      </c>
    </row>
    <row r="717" spans="1:17" x14ac:dyDescent="0.2">
      <c r="A717" t="s">
        <v>29</v>
      </c>
      <c r="B717" t="s">
        <v>30</v>
      </c>
      <c r="C717" s="5">
        <v>51057016.640000001</v>
      </c>
      <c r="D717" s="2">
        <v>44953</v>
      </c>
      <c r="E717" s="5">
        <f t="shared" si="14"/>
        <v>107219734.94400001</v>
      </c>
      <c r="F717" s="2">
        <v>44956</v>
      </c>
      <c r="G717" s="3" t="s">
        <v>629</v>
      </c>
      <c r="H717" t="s">
        <v>315</v>
      </c>
      <c r="I717" s="7">
        <v>49738</v>
      </c>
      <c r="J717" t="s">
        <v>21</v>
      </c>
      <c r="K717" s="12">
        <v>6000</v>
      </c>
      <c r="L717" t="s">
        <v>0</v>
      </c>
      <c r="M717" s="12">
        <v>67000</v>
      </c>
      <c r="N717" t="s">
        <v>1</v>
      </c>
      <c r="O717" s="12">
        <v>11.17</v>
      </c>
      <c r="P717" s="12">
        <v>13198.33</v>
      </c>
      <c r="Q717" s="12">
        <v>2.2000000000000002</v>
      </c>
    </row>
    <row r="718" spans="1:17" x14ac:dyDescent="0.2">
      <c r="A718" t="s">
        <v>29</v>
      </c>
      <c r="B718" t="s">
        <v>30</v>
      </c>
      <c r="C718" s="5">
        <v>51057016.660000004</v>
      </c>
      <c r="D718" s="2">
        <v>44951</v>
      </c>
      <c r="E718" s="5">
        <f t="shared" si="14"/>
        <v>107219734.98600002</v>
      </c>
      <c r="F718" s="2">
        <v>44956</v>
      </c>
      <c r="G718" s="3" t="s">
        <v>519</v>
      </c>
      <c r="H718" t="s">
        <v>215</v>
      </c>
      <c r="I718" s="7">
        <v>49689</v>
      </c>
      <c r="J718" t="s">
        <v>20</v>
      </c>
      <c r="K718" s="12">
        <v>5700</v>
      </c>
      <c r="L718" t="s">
        <v>0</v>
      </c>
      <c r="M718" s="12">
        <v>98325</v>
      </c>
      <c r="N718" t="s">
        <v>1</v>
      </c>
      <c r="O718" s="12">
        <v>17.25</v>
      </c>
      <c r="P718" s="12">
        <v>19369.04</v>
      </c>
      <c r="Q718" s="12">
        <v>3.4</v>
      </c>
    </row>
    <row r="719" spans="1:17" x14ac:dyDescent="0.2">
      <c r="A719" t="s">
        <v>29</v>
      </c>
      <c r="B719" t="s">
        <v>30</v>
      </c>
      <c r="C719" s="5">
        <v>51057016.689999998</v>
      </c>
      <c r="D719" s="2">
        <v>44953</v>
      </c>
      <c r="E719" s="5">
        <f t="shared" si="14"/>
        <v>107219735.04899999</v>
      </c>
      <c r="F719" s="2">
        <v>44956</v>
      </c>
      <c r="G719" s="3" t="s">
        <v>321</v>
      </c>
      <c r="H719" t="s">
        <v>31</v>
      </c>
      <c r="I719" s="7">
        <v>49689</v>
      </c>
      <c r="J719" t="s">
        <v>20</v>
      </c>
      <c r="K719" s="12">
        <v>18600</v>
      </c>
      <c r="L719" t="s">
        <v>0</v>
      </c>
      <c r="M719" s="12">
        <v>298282</v>
      </c>
      <c r="N719" t="s">
        <v>1</v>
      </c>
      <c r="O719" s="12">
        <v>16.04</v>
      </c>
      <c r="P719" s="12">
        <v>58770.67</v>
      </c>
      <c r="Q719" s="12">
        <v>3.16</v>
      </c>
    </row>
    <row r="720" spans="1:17" x14ac:dyDescent="0.2">
      <c r="A720" t="s">
        <v>29</v>
      </c>
      <c r="B720" t="s">
        <v>30</v>
      </c>
      <c r="C720" s="5">
        <v>51057016.710000001</v>
      </c>
      <c r="D720" s="2">
        <v>44953</v>
      </c>
      <c r="E720" s="5">
        <f t="shared" si="14"/>
        <v>107219735.09100001</v>
      </c>
      <c r="F720" s="2">
        <v>44956</v>
      </c>
      <c r="G720" s="3" t="s">
        <v>630</v>
      </c>
      <c r="H720" t="s">
        <v>316</v>
      </c>
      <c r="I720" s="7">
        <v>49731</v>
      </c>
      <c r="J720" t="s">
        <v>23</v>
      </c>
      <c r="K720" s="12">
        <v>1496.97</v>
      </c>
      <c r="L720" t="s">
        <v>0</v>
      </c>
      <c r="M720" s="12">
        <v>28128.07</v>
      </c>
      <c r="N720" t="s">
        <v>1</v>
      </c>
      <c r="O720" s="12">
        <v>18.79</v>
      </c>
      <c r="P720" s="12">
        <v>5540.95</v>
      </c>
      <c r="Q720" s="12">
        <v>3.7</v>
      </c>
    </row>
    <row r="721" spans="1:17" x14ac:dyDescent="0.2">
      <c r="A721" t="s">
        <v>29</v>
      </c>
      <c r="B721" t="s">
        <v>30</v>
      </c>
      <c r="C721" s="5">
        <v>51057016.740000002</v>
      </c>
      <c r="D721" s="2">
        <v>44952</v>
      </c>
      <c r="E721" s="5">
        <f t="shared" si="14"/>
        <v>107219735.15400001</v>
      </c>
      <c r="F721" s="2">
        <v>44956</v>
      </c>
      <c r="G721" s="3" t="s">
        <v>472</v>
      </c>
      <c r="H721" t="s">
        <v>175</v>
      </c>
      <c r="I721" s="7">
        <v>49689</v>
      </c>
      <c r="J721" t="s">
        <v>20</v>
      </c>
      <c r="K721" s="12">
        <v>18000</v>
      </c>
      <c r="L721" t="s">
        <v>0</v>
      </c>
      <c r="M721" s="12">
        <v>321231</v>
      </c>
      <c r="N721" t="s">
        <v>1</v>
      </c>
      <c r="O721" s="12">
        <v>17.850000000000001</v>
      </c>
      <c r="P721" s="12">
        <v>63292.88</v>
      </c>
      <c r="Q721" s="12">
        <v>3.52</v>
      </c>
    </row>
    <row r="722" spans="1:17" x14ac:dyDescent="0.2">
      <c r="A722" t="s">
        <v>29</v>
      </c>
      <c r="B722" t="s">
        <v>30</v>
      </c>
      <c r="C722" s="5">
        <v>51057017.640000001</v>
      </c>
      <c r="D722" s="2">
        <v>44951</v>
      </c>
      <c r="E722" s="5">
        <f t="shared" si="14"/>
        <v>107219737.044</v>
      </c>
      <c r="F722" s="2">
        <v>44956</v>
      </c>
      <c r="G722" s="3" t="s">
        <v>631</v>
      </c>
      <c r="H722" t="s">
        <v>317</v>
      </c>
      <c r="I722" s="7">
        <v>49731</v>
      </c>
      <c r="J722" t="s">
        <v>23</v>
      </c>
      <c r="K722" s="12">
        <v>11820</v>
      </c>
      <c r="L722" t="s">
        <v>0</v>
      </c>
      <c r="M722" s="12">
        <v>213829.71</v>
      </c>
      <c r="N722" t="s">
        <v>1</v>
      </c>
      <c r="O722" s="12">
        <v>18.09</v>
      </c>
      <c r="P722" s="12">
        <v>42122.31</v>
      </c>
      <c r="Q722" s="12">
        <v>3.56</v>
      </c>
    </row>
    <row r="723" spans="1:17" x14ac:dyDescent="0.2">
      <c r="A723" t="s">
        <v>29</v>
      </c>
      <c r="B723" t="s">
        <v>30</v>
      </c>
      <c r="C723" s="5">
        <v>51057017.649999999</v>
      </c>
      <c r="D723" s="2">
        <v>44951</v>
      </c>
      <c r="E723" s="5">
        <f t="shared" si="14"/>
        <v>107219737.065</v>
      </c>
      <c r="F723" s="2">
        <v>44956</v>
      </c>
      <c r="G723" s="3" t="s">
        <v>632</v>
      </c>
      <c r="H723" t="s">
        <v>317</v>
      </c>
      <c r="I723" s="7">
        <v>49731</v>
      </c>
      <c r="J723" t="s">
        <v>23</v>
      </c>
      <c r="K723" s="12">
        <v>15180</v>
      </c>
      <c r="L723" t="s">
        <v>0</v>
      </c>
      <c r="M723" s="12">
        <v>274613.78999999998</v>
      </c>
      <c r="N723" t="s">
        <v>1</v>
      </c>
      <c r="O723" s="12">
        <v>18.09</v>
      </c>
      <c r="P723" s="12">
        <v>54096.17</v>
      </c>
      <c r="Q723" s="12">
        <v>3.56</v>
      </c>
    </row>
    <row r="724" spans="1:17" x14ac:dyDescent="0.2">
      <c r="A724" t="s">
        <v>29</v>
      </c>
      <c r="B724" t="s">
        <v>30</v>
      </c>
      <c r="C724" s="5">
        <v>51057017.670000002</v>
      </c>
      <c r="D724" s="2">
        <v>44951</v>
      </c>
      <c r="E724" s="5">
        <f t="shared" si="14"/>
        <v>107219737.10700001</v>
      </c>
      <c r="F724" s="2">
        <v>44956</v>
      </c>
      <c r="G724" s="3" t="s">
        <v>631</v>
      </c>
      <c r="H724" t="s">
        <v>317</v>
      </c>
      <c r="I724" s="7">
        <v>49731</v>
      </c>
      <c r="J724" t="s">
        <v>23</v>
      </c>
      <c r="K724" s="12">
        <v>26820</v>
      </c>
      <c r="L724" t="s">
        <v>0</v>
      </c>
      <c r="M724" s="12">
        <v>485187.21</v>
      </c>
      <c r="N724" t="s">
        <v>1</v>
      </c>
      <c r="O724" s="12">
        <v>18.09</v>
      </c>
      <c r="P724" s="12">
        <v>95577.03</v>
      </c>
      <c r="Q724" s="12">
        <v>3.56</v>
      </c>
    </row>
    <row r="725" spans="1:17" x14ac:dyDescent="0.2">
      <c r="A725" t="s">
        <v>29</v>
      </c>
      <c r="B725" t="s">
        <v>30</v>
      </c>
      <c r="C725" s="5">
        <v>51057018.32</v>
      </c>
      <c r="D725" s="2">
        <v>44953</v>
      </c>
      <c r="E725" s="5">
        <f t="shared" si="14"/>
        <v>107219738.472</v>
      </c>
      <c r="F725" s="2">
        <v>44956</v>
      </c>
      <c r="G725" s="3" t="s">
        <v>633</v>
      </c>
      <c r="H725" t="s">
        <v>318</v>
      </c>
      <c r="I725" s="7">
        <v>49689</v>
      </c>
      <c r="J725" t="s">
        <v>20</v>
      </c>
      <c r="K725" s="12">
        <v>2220</v>
      </c>
      <c r="L725" t="s">
        <v>0</v>
      </c>
      <c r="M725" s="12">
        <v>37563.440000000002</v>
      </c>
      <c r="N725" t="s">
        <v>1</v>
      </c>
      <c r="O725" s="12">
        <v>16.920000000000002</v>
      </c>
      <c r="P725" s="12">
        <v>7399.62</v>
      </c>
      <c r="Q725" s="12">
        <v>3.33</v>
      </c>
    </row>
    <row r="726" spans="1:17" x14ac:dyDescent="0.2">
      <c r="A726" t="s">
        <v>29</v>
      </c>
      <c r="B726" t="s">
        <v>30</v>
      </c>
      <c r="C726" s="5">
        <v>51057018.340000004</v>
      </c>
      <c r="D726" s="2">
        <v>44953</v>
      </c>
      <c r="E726" s="5">
        <f t="shared" si="14"/>
        <v>107219738.51400001</v>
      </c>
      <c r="F726" s="2">
        <v>44956</v>
      </c>
      <c r="G726" s="3" t="s">
        <v>633</v>
      </c>
      <c r="H726" t="s">
        <v>318</v>
      </c>
      <c r="I726" s="7">
        <v>49689</v>
      </c>
      <c r="J726" t="s">
        <v>20</v>
      </c>
      <c r="K726" s="12">
        <v>9780</v>
      </c>
      <c r="L726" t="s">
        <v>0</v>
      </c>
      <c r="M726" s="12">
        <v>173756.37</v>
      </c>
      <c r="N726" t="s">
        <v>1</v>
      </c>
      <c r="O726" s="12">
        <v>17.77</v>
      </c>
      <c r="P726" s="12">
        <v>34228.269999999997</v>
      </c>
      <c r="Q726" s="12">
        <v>3.5</v>
      </c>
    </row>
    <row r="727" spans="1:17" x14ac:dyDescent="0.2">
      <c r="A727" t="s">
        <v>29</v>
      </c>
      <c r="B727" t="s">
        <v>30</v>
      </c>
      <c r="C727" s="5">
        <v>51057018.350000001</v>
      </c>
      <c r="D727" s="2">
        <v>44953</v>
      </c>
      <c r="E727" s="5">
        <f t="shared" si="14"/>
        <v>107219738.53500001</v>
      </c>
      <c r="F727" s="2">
        <v>44956</v>
      </c>
      <c r="G727" s="3" t="s">
        <v>633</v>
      </c>
      <c r="H727" t="s">
        <v>318</v>
      </c>
      <c r="I727" s="7">
        <v>49689</v>
      </c>
      <c r="J727" t="s">
        <v>20</v>
      </c>
      <c r="K727" s="12">
        <v>14220</v>
      </c>
      <c r="L727" t="s">
        <v>0</v>
      </c>
      <c r="M727" s="12">
        <v>252639.63</v>
      </c>
      <c r="N727" t="s">
        <v>1</v>
      </c>
      <c r="O727" s="12">
        <v>17.77</v>
      </c>
      <c r="P727" s="12">
        <v>49767.48</v>
      </c>
      <c r="Q727" s="12">
        <v>3.5</v>
      </c>
    </row>
    <row r="728" spans="1:17" x14ac:dyDescent="0.2">
      <c r="A728" t="s">
        <v>29</v>
      </c>
      <c r="B728" t="s">
        <v>30</v>
      </c>
      <c r="C728" s="5">
        <v>51057046.170000002</v>
      </c>
      <c r="D728" s="2">
        <v>44950</v>
      </c>
      <c r="E728" s="5">
        <f t="shared" si="14"/>
        <v>107219796.957</v>
      </c>
      <c r="F728" s="2">
        <v>44957</v>
      </c>
      <c r="G728" s="3" t="s">
        <v>634</v>
      </c>
      <c r="H728" t="s">
        <v>319</v>
      </c>
      <c r="I728" s="7">
        <v>35334</v>
      </c>
      <c r="J728" t="s">
        <v>24</v>
      </c>
      <c r="K728" s="12">
        <v>4.5</v>
      </c>
      <c r="L728" t="s">
        <v>2</v>
      </c>
      <c r="M728" s="12">
        <v>66309.350000000006</v>
      </c>
      <c r="N728" t="s">
        <v>1</v>
      </c>
      <c r="O728" s="12">
        <v>14735.41</v>
      </c>
      <c r="P728" s="12">
        <v>13062.28</v>
      </c>
      <c r="Q728" s="12">
        <v>2902.73</v>
      </c>
    </row>
    <row r="729" spans="1:17" x14ac:dyDescent="0.2">
      <c r="A729" t="s">
        <v>29</v>
      </c>
      <c r="B729" t="s">
        <v>30</v>
      </c>
      <c r="C729" s="5">
        <v>51057051.630000003</v>
      </c>
      <c r="D729" s="2">
        <v>44956</v>
      </c>
      <c r="E729" s="5">
        <f t="shared" si="14"/>
        <v>107219808.42300001</v>
      </c>
      <c r="F729" s="2">
        <v>44957</v>
      </c>
      <c r="G729" s="3" t="s">
        <v>603</v>
      </c>
      <c r="H729" t="s">
        <v>290</v>
      </c>
      <c r="I729" s="7">
        <v>49689</v>
      </c>
      <c r="J729" t="s">
        <v>20</v>
      </c>
      <c r="K729" s="12">
        <v>2982.4</v>
      </c>
      <c r="L729" t="s">
        <v>0</v>
      </c>
      <c r="M729" s="12">
        <v>53671.27</v>
      </c>
      <c r="N729" t="s">
        <v>1</v>
      </c>
      <c r="O729" s="12">
        <v>18</v>
      </c>
      <c r="P729" s="12">
        <v>10532.87</v>
      </c>
      <c r="Q729" s="12">
        <v>3.53</v>
      </c>
    </row>
    <row r="730" spans="1:17" x14ac:dyDescent="0.2">
      <c r="A730" t="s">
        <v>29</v>
      </c>
      <c r="B730" t="s">
        <v>30</v>
      </c>
      <c r="C730" s="5">
        <v>51057051.649999999</v>
      </c>
      <c r="D730" s="2">
        <v>44956</v>
      </c>
      <c r="E730" s="5">
        <f t="shared" si="14"/>
        <v>107219808.465</v>
      </c>
      <c r="F730" s="2">
        <v>44957</v>
      </c>
      <c r="G730" s="3" t="s">
        <v>440</v>
      </c>
      <c r="H730" t="s">
        <v>144</v>
      </c>
      <c r="I730" s="7">
        <v>49732</v>
      </c>
      <c r="J730" t="s">
        <v>27</v>
      </c>
      <c r="K730" s="12">
        <v>26400</v>
      </c>
      <c r="L730" t="s">
        <v>0</v>
      </c>
      <c r="M730" s="12">
        <v>475200</v>
      </c>
      <c r="N730" t="s">
        <v>1</v>
      </c>
      <c r="O730" s="12">
        <v>18</v>
      </c>
      <c r="P730" s="12">
        <v>93256.93</v>
      </c>
      <c r="Q730" s="12">
        <v>3.53</v>
      </c>
    </row>
    <row r="731" spans="1:17" x14ac:dyDescent="0.2">
      <c r="A731" t="s">
        <v>29</v>
      </c>
      <c r="B731" t="s">
        <v>30</v>
      </c>
      <c r="C731" s="5">
        <v>51057054.350000001</v>
      </c>
      <c r="D731" s="2">
        <v>44956</v>
      </c>
      <c r="E731" s="5">
        <f t="shared" si="14"/>
        <v>107219814.13500001</v>
      </c>
      <c r="F731" s="2">
        <v>44957</v>
      </c>
      <c r="G731" s="3" t="s">
        <v>522</v>
      </c>
      <c r="H731" t="s">
        <v>217</v>
      </c>
      <c r="I731" s="7">
        <v>49689</v>
      </c>
      <c r="J731" t="s">
        <v>20</v>
      </c>
      <c r="K731" s="12">
        <v>1612</v>
      </c>
      <c r="L731" t="s">
        <v>0</v>
      </c>
      <c r="M731" s="12">
        <v>30289.48</v>
      </c>
      <c r="N731" t="s">
        <v>1</v>
      </c>
      <c r="O731" s="12">
        <v>18.79</v>
      </c>
      <c r="P731" s="12">
        <v>5944.24</v>
      </c>
      <c r="Q731" s="12">
        <v>3.69</v>
      </c>
    </row>
    <row r="732" spans="1:17" x14ac:dyDescent="0.2">
      <c r="A732" t="s">
        <v>29</v>
      </c>
      <c r="B732" t="s">
        <v>30</v>
      </c>
      <c r="C732" s="5">
        <v>51057056.060000002</v>
      </c>
      <c r="D732" s="2">
        <v>44951</v>
      </c>
      <c r="E732" s="5">
        <f t="shared" si="14"/>
        <v>107219817.72600001</v>
      </c>
      <c r="F732" s="2">
        <v>44957</v>
      </c>
      <c r="G732" s="3" t="s">
        <v>635</v>
      </c>
      <c r="H732" t="s">
        <v>320</v>
      </c>
      <c r="I732" s="7">
        <v>49689</v>
      </c>
      <c r="J732" t="s">
        <v>20</v>
      </c>
      <c r="K732" s="12">
        <v>5982.88</v>
      </c>
      <c r="L732" t="s">
        <v>0</v>
      </c>
      <c r="M732" s="12">
        <v>107811.5</v>
      </c>
      <c r="N732" t="s">
        <v>1</v>
      </c>
      <c r="O732" s="12">
        <v>18.02</v>
      </c>
      <c r="P732" s="12">
        <v>21157.759999999998</v>
      </c>
      <c r="Q732" s="12">
        <v>3.54</v>
      </c>
    </row>
    <row r="733" spans="1:17" x14ac:dyDescent="0.2">
      <c r="A733" t="s">
        <v>29</v>
      </c>
      <c r="B733" t="s">
        <v>30</v>
      </c>
      <c r="C733" s="5">
        <v>51057057.380000003</v>
      </c>
      <c r="D733" s="2">
        <v>44957</v>
      </c>
      <c r="E733" s="5">
        <f t="shared" si="14"/>
        <v>107219820.49800001</v>
      </c>
      <c r="F733" s="2">
        <v>44957</v>
      </c>
      <c r="G733" s="3" t="s">
        <v>326</v>
      </c>
      <c r="H733" t="s">
        <v>36</v>
      </c>
      <c r="I733" s="7">
        <v>35333</v>
      </c>
      <c r="J733" t="s">
        <v>22</v>
      </c>
      <c r="K733" s="12">
        <v>8</v>
      </c>
      <c r="L733" t="s">
        <v>2</v>
      </c>
      <c r="M733" s="12">
        <v>111470.39999999999</v>
      </c>
      <c r="N733" t="s">
        <v>1</v>
      </c>
      <c r="O733" s="12">
        <v>13933.8</v>
      </c>
      <c r="P733" s="12">
        <v>21875.81</v>
      </c>
      <c r="Q733" s="12">
        <v>2734.48</v>
      </c>
    </row>
    <row r="734" spans="1:17" x14ac:dyDescent="0.2">
      <c r="A734" t="s">
        <v>29</v>
      </c>
      <c r="B734" t="s">
        <v>30</v>
      </c>
      <c r="C734" s="5">
        <v>51057058.240000002</v>
      </c>
      <c r="D734" s="2">
        <v>44952</v>
      </c>
      <c r="E734" s="5">
        <f t="shared" si="14"/>
        <v>107219822.30400001</v>
      </c>
      <c r="F734" s="2">
        <v>44957</v>
      </c>
      <c r="G734" s="3" t="s">
        <v>502</v>
      </c>
      <c r="H734" t="s">
        <v>201</v>
      </c>
      <c r="I734" s="7">
        <v>49689</v>
      </c>
      <c r="J734" t="s">
        <v>20</v>
      </c>
      <c r="K734" s="12">
        <v>30000</v>
      </c>
      <c r="L734" t="s">
        <v>0</v>
      </c>
      <c r="M734" s="12">
        <v>544998</v>
      </c>
      <c r="N734" t="s">
        <v>1</v>
      </c>
      <c r="O734" s="12">
        <v>18.170000000000002</v>
      </c>
      <c r="P734" s="12">
        <v>106954.63</v>
      </c>
      <c r="Q734" s="12">
        <v>3.57</v>
      </c>
    </row>
    <row r="735" spans="1:17" x14ac:dyDescent="0.2">
      <c r="A735" t="s">
        <v>29</v>
      </c>
      <c r="B735" t="s">
        <v>30</v>
      </c>
      <c r="C735" s="5">
        <v>51057058.539999999</v>
      </c>
      <c r="D735" s="2">
        <v>44957</v>
      </c>
      <c r="E735" s="5">
        <f t="shared" si="14"/>
        <v>107219822.934</v>
      </c>
      <c r="F735" s="2">
        <v>44957</v>
      </c>
      <c r="G735" s="3" t="s">
        <v>326</v>
      </c>
      <c r="H735" t="s">
        <v>36</v>
      </c>
      <c r="I735" s="7">
        <v>35333</v>
      </c>
      <c r="J735" t="s">
        <v>22</v>
      </c>
      <c r="K735" s="12">
        <v>4</v>
      </c>
      <c r="L735" t="s">
        <v>2</v>
      </c>
      <c r="M735" s="12">
        <v>50316.5</v>
      </c>
      <c r="N735" t="s">
        <v>1</v>
      </c>
      <c r="O735" s="12">
        <v>12579.13</v>
      </c>
      <c r="P735" s="12">
        <v>10937.91</v>
      </c>
      <c r="Q735" s="12">
        <v>2734.48</v>
      </c>
    </row>
    <row r="736" spans="1:17" x14ac:dyDescent="0.2">
      <c r="A736" t="s">
        <v>29</v>
      </c>
      <c r="B736" t="s">
        <v>30</v>
      </c>
      <c r="C736" s="5">
        <v>51057058.630000003</v>
      </c>
      <c r="D736" s="2">
        <v>44957</v>
      </c>
      <c r="E736" s="5">
        <f t="shared" si="14"/>
        <v>107219823.12300001</v>
      </c>
      <c r="F736" s="2">
        <v>44957</v>
      </c>
      <c r="G736" s="3" t="s">
        <v>326</v>
      </c>
      <c r="H736" t="s">
        <v>36</v>
      </c>
      <c r="I736" s="7">
        <v>35333</v>
      </c>
      <c r="J736" t="s">
        <v>22</v>
      </c>
      <c r="K736" s="12">
        <v>4.3479999999999999</v>
      </c>
      <c r="L736" t="s">
        <v>2</v>
      </c>
      <c r="M736" s="12">
        <v>60584.160000000003</v>
      </c>
      <c r="N736" t="s">
        <v>1</v>
      </c>
      <c r="O736" s="12">
        <v>13933.8</v>
      </c>
      <c r="P736" s="12">
        <v>11889.51</v>
      </c>
      <c r="Q736" s="12">
        <v>2734.48</v>
      </c>
    </row>
    <row r="737" spans="1:17" x14ac:dyDescent="0.2">
      <c r="A737" t="s">
        <v>29</v>
      </c>
      <c r="B737" t="s">
        <v>30</v>
      </c>
      <c r="C737" s="5">
        <v>51057058.670000002</v>
      </c>
      <c r="D737" s="2">
        <v>44957</v>
      </c>
      <c r="E737" s="5">
        <f t="shared" si="14"/>
        <v>107219823.207</v>
      </c>
      <c r="F737" s="2">
        <v>44957</v>
      </c>
      <c r="G737" s="3" t="s">
        <v>326</v>
      </c>
      <c r="H737" t="s">
        <v>36</v>
      </c>
      <c r="I737" s="7">
        <v>35333</v>
      </c>
      <c r="J737" t="s">
        <v>22</v>
      </c>
      <c r="K737" s="12">
        <v>13</v>
      </c>
      <c r="L737" t="s">
        <v>2</v>
      </c>
      <c r="M737" s="12">
        <v>181265.19</v>
      </c>
      <c r="N737" t="s">
        <v>1</v>
      </c>
      <c r="O737" s="12">
        <v>13943.48</v>
      </c>
      <c r="P737" s="12">
        <v>35572.89</v>
      </c>
      <c r="Q737" s="12">
        <v>2736.38</v>
      </c>
    </row>
    <row r="738" spans="1:17" x14ac:dyDescent="0.2">
      <c r="A738" t="s">
        <v>29</v>
      </c>
      <c r="B738" t="s">
        <v>30</v>
      </c>
      <c r="C738" s="5">
        <v>51057058.68</v>
      </c>
      <c r="D738" s="2">
        <v>44956</v>
      </c>
      <c r="E738" s="5">
        <f t="shared" si="14"/>
        <v>107219823.228</v>
      </c>
      <c r="F738" s="2">
        <v>44957</v>
      </c>
      <c r="G738" s="3" t="s">
        <v>480</v>
      </c>
      <c r="H738" t="s">
        <v>182</v>
      </c>
      <c r="I738" s="7">
        <v>35333</v>
      </c>
      <c r="J738" t="s">
        <v>22</v>
      </c>
      <c r="K738" s="12">
        <v>2.4</v>
      </c>
      <c r="L738" t="s">
        <v>2</v>
      </c>
      <c r="M738" s="12">
        <v>33441.120000000003</v>
      </c>
      <c r="N738" t="s">
        <v>1</v>
      </c>
      <c r="O738" s="12">
        <v>13933.8</v>
      </c>
      <c r="P738" s="12">
        <v>6562.74</v>
      </c>
      <c r="Q738" s="12">
        <v>2734.48</v>
      </c>
    </row>
    <row r="739" spans="1:17" x14ac:dyDescent="0.2">
      <c r="A739" t="s">
        <v>29</v>
      </c>
      <c r="B739" t="s">
        <v>30</v>
      </c>
      <c r="C739" s="5">
        <v>51057060.310000002</v>
      </c>
      <c r="D739" s="2">
        <v>44957</v>
      </c>
      <c r="E739" s="5">
        <f t="shared" si="14"/>
        <v>107219826.65100001</v>
      </c>
      <c r="F739" s="2">
        <v>44957</v>
      </c>
      <c r="G739" s="3" t="s">
        <v>326</v>
      </c>
      <c r="H739" t="s">
        <v>36</v>
      </c>
      <c r="I739" s="7">
        <v>35333</v>
      </c>
      <c r="J739" t="s">
        <v>22</v>
      </c>
      <c r="K739" s="12">
        <v>2</v>
      </c>
      <c r="L739" t="s">
        <v>2</v>
      </c>
      <c r="M739" s="12">
        <v>27867.599999999999</v>
      </c>
      <c r="N739" t="s">
        <v>1</v>
      </c>
      <c r="O739" s="12">
        <v>13933.8</v>
      </c>
      <c r="P739" s="12">
        <v>5468.95</v>
      </c>
      <c r="Q739" s="12">
        <v>2734.48</v>
      </c>
    </row>
    <row r="740" spans="1:17" x14ac:dyDescent="0.2">
      <c r="A740" t="s">
        <v>29</v>
      </c>
      <c r="B740" t="s">
        <v>30</v>
      </c>
      <c r="C740" s="5">
        <v>51070453.270000003</v>
      </c>
      <c r="D740" s="2">
        <v>44905</v>
      </c>
      <c r="E740" s="5">
        <f t="shared" si="14"/>
        <v>107247951.86700001</v>
      </c>
      <c r="F740" s="2">
        <v>44926</v>
      </c>
      <c r="G740" s="3" t="s">
        <v>350</v>
      </c>
      <c r="H740" t="s">
        <v>59</v>
      </c>
      <c r="I740" s="7">
        <v>35334</v>
      </c>
      <c r="J740" t="s">
        <v>24</v>
      </c>
      <c r="K740" s="12">
        <v>30</v>
      </c>
      <c r="L740" t="s">
        <v>2</v>
      </c>
      <c r="M740" s="12">
        <v>425755</v>
      </c>
      <c r="N740" t="s">
        <v>1</v>
      </c>
      <c r="O740" s="12">
        <v>14191.83</v>
      </c>
      <c r="P740" s="12">
        <v>80067.759999999995</v>
      </c>
      <c r="Q740" s="12">
        <v>2668.93</v>
      </c>
    </row>
  </sheetData>
  <conditionalFormatting sqref="E2:E74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C856-4866-4D79-9EA9-0E23757FF9FC}">
  <dimension ref="A1:O14"/>
  <sheetViews>
    <sheetView zoomScale="80" zoomScaleNormal="80" workbookViewId="0"/>
  </sheetViews>
  <sheetFormatPr defaultRowHeight="12.75" x14ac:dyDescent="0.2"/>
  <cols>
    <col min="1" max="1" width="9.7109375" customWidth="1"/>
    <col min="2" max="2" width="17.85546875" bestFit="1" customWidth="1"/>
    <col min="3" max="3" width="12.7109375" bestFit="1" customWidth="1"/>
    <col min="4" max="4" width="15.85546875" bestFit="1" customWidth="1"/>
    <col min="5" max="5" width="8" bestFit="1" customWidth="1"/>
    <col min="6" max="6" width="19.85546875" bestFit="1" customWidth="1"/>
    <col min="7" max="7" width="15.140625" bestFit="1" customWidth="1"/>
    <col min="8" max="8" width="24.85546875" bestFit="1" customWidth="1"/>
    <col min="9" max="9" width="19.7109375" bestFit="1" customWidth="1"/>
    <col min="10" max="10" width="8" bestFit="1" customWidth="1"/>
    <col min="11" max="11" width="46.85546875" bestFit="1" customWidth="1"/>
    <col min="12" max="12" width="6.28515625" bestFit="1" customWidth="1"/>
    <col min="13" max="13" width="8.7109375" bestFit="1" customWidth="1"/>
    <col min="14" max="14" width="8.5703125" bestFit="1" customWidth="1"/>
    <col min="15" max="15" width="10.140625" bestFit="1" customWidth="1"/>
  </cols>
  <sheetData>
    <row r="1" spans="1:15" ht="38.25" x14ac:dyDescent="0.2">
      <c r="A1" s="14" t="s">
        <v>636</v>
      </c>
      <c r="B1" s="14" t="s">
        <v>637</v>
      </c>
      <c r="C1" s="14" t="s">
        <v>638</v>
      </c>
      <c r="D1" s="17" t="s">
        <v>10</v>
      </c>
      <c r="E1" s="14" t="s">
        <v>639</v>
      </c>
      <c r="F1" s="14" t="s">
        <v>640</v>
      </c>
      <c r="G1" s="14" t="s">
        <v>641</v>
      </c>
      <c r="H1" s="14" t="s">
        <v>642</v>
      </c>
      <c r="I1" s="14" t="s">
        <v>643</v>
      </c>
      <c r="J1" s="14" t="s">
        <v>644</v>
      </c>
      <c r="K1" s="14" t="s">
        <v>645</v>
      </c>
      <c r="L1" s="14" t="s">
        <v>646</v>
      </c>
      <c r="M1" s="14" t="s">
        <v>647</v>
      </c>
      <c r="N1" s="14" t="s">
        <v>648</v>
      </c>
      <c r="O1" s="14" t="s">
        <v>649</v>
      </c>
    </row>
    <row r="2" spans="1:15" x14ac:dyDescent="0.2">
      <c r="A2" s="15" t="s">
        <v>671</v>
      </c>
      <c r="B2" s="15" t="s">
        <v>675</v>
      </c>
      <c r="C2" s="16">
        <v>1554595</v>
      </c>
      <c r="D2" s="15" t="s">
        <v>683</v>
      </c>
      <c r="E2" s="15" t="s">
        <v>658</v>
      </c>
      <c r="F2" s="18" t="s">
        <v>701</v>
      </c>
      <c r="G2" s="18" t="s">
        <v>702</v>
      </c>
      <c r="H2" s="15" t="s">
        <v>710</v>
      </c>
      <c r="I2" s="15" t="s">
        <v>651</v>
      </c>
      <c r="J2" s="15" t="s">
        <v>658</v>
      </c>
      <c r="K2" s="15" t="s">
        <v>714</v>
      </c>
      <c r="L2" s="15" t="s">
        <v>651</v>
      </c>
      <c r="M2" s="15" t="s">
        <v>652</v>
      </c>
      <c r="N2" s="15" t="s">
        <v>652</v>
      </c>
      <c r="O2" s="15" t="s">
        <v>653</v>
      </c>
    </row>
    <row r="3" spans="1:15" x14ac:dyDescent="0.2">
      <c r="A3" s="15" t="s">
        <v>670</v>
      </c>
      <c r="B3" s="15" t="s">
        <v>676</v>
      </c>
      <c r="C3" s="16">
        <v>1442685</v>
      </c>
      <c r="D3" s="15" t="s">
        <v>684</v>
      </c>
      <c r="E3" s="15" t="s">
        <v>657</v>
      </c>
      <c r="F3" s="18">
        <v>36567889</v>
      </c>
      <c r="G3" s="18">
        <v>5478930099</v>
      </c>
      <c r="H3" s="15" t="s">
        <v>711</v>
      </c>
      <c r="I3" s="15" t="s">
        <v>651</v>
      </c>
      <c r="J3" s="15" t="s">
        <v>657</v>
      </c>
      <c r="K3" s="15" t="s">
        <v>714</v>
      </c>
      <c r="L3" s="15" t="s">
        <v>651</v>
      </c>
      <c r="M3" s="15" t="s">
        <v>652</v>
      </c>
      <c r="N3" s="15" t="s">
        <v>652</v>
      </c>
      <c r="O3" s="15" t="s">
        <v>653</v>
      </c>
    </row>
    <row r="4" spans="1:15" x14ac:dyDescent="0.2">
      <c r="A4" s="15" t="s">
        <v>672</v>
      </c>
      <c r="B4" s="15" t="s">
        <v>677</v>
      </c>
      <c r="C4" s="16">
        <v>2051567</v>
      </c>
      <c r="D4" s="15" t="s">
        <v>685</v>
      </c>
      <c r="E4" s="15" t="s">
        <v>659</v>
      </c>
      <c r="F4" s="18">
        <v>0</v>
      </c>
      <c r="G4" s="18">
        <v>54367299</v>
      </c>
      <c r="H4" s="15" t="s">
        <v>712</v>
      </c>
      <c r="I4" s="15" t="s">
        <v>651</v>
      </c>
      <c r="J4" s="15" t="s">
        <v>659</v>
      </c>
      <c r="K4" s="15" t="s">
        <v>716</v>
      </c>
      <c r="L4" s="15" t="s">
        <v>651</v>
      </c>
      <c r="M4" s="15" t="s">
        <v>652</v>
      </c>
      <c r="N4" s="15" t="s">
        <v>652</v>
      </c>
      <c r="O4" s="15" t="s">
        <v>653</v>
      </c>
    </row>
    <row r="5" spans="1:15" x14ac:dyDescent="0.2">
      <c r="A5" s="15" t="s">
        <v>672</v>
      </c>
      <c r="B5" s="15" t="s">
        <v>677</v>
      </c>
      <c r="C5" s="16">
        <v>2123100</v>
      </c>
      <c r="D5" s="15" t="s">
        <v>686</v>
      </c>
      <c r="E5" s="15" t="s">
        <v>660</v>
      </c>
      <c r="F5" s="18">
        <v>123456</v>
      </c>
      <c r="G5" s="18">
        <v>678910</v>
      </c>
      <c r="H5" s="15" t="s">
        <v>703</v>
      </c>
      <c r="I5" s="15" t="s">
        <v>703</v>
      </c>
      <c r="J5" s="15" t="s">
        <v>660</v>
      </c>
      <c r="K5" s="15" t="s">
        <v>715</v>
      </c>
      <c r="L5" s="15" t="s">
        <v>651</v>
      </c>
      <c r="M5" s="15" t="s">
        <v>652</v>
      </c>
      <c r="N5" s="15" t="s">
        <v>652</v>
      </c>
      <c r="O5" s="15" t="s">
        <v>696</v>
      </c>
    </row>
    <row r="6" spans="1:15" x14ac:dyDescent="0.2">
      <c r="A6" s="15" t="s">
        <v>672</v>
      </c>
      <c r="B6" s="15" t="s">
        <v>677</v>
      </c>
      <c r="C6" s="16">
        <v>2123100</v>
      </c>
      <c r="D6" s="15" t="s">
        <v>686</v>
      </c>
      <c r="E6" s="15" t="s">
        <v>660</v>
      </c>
      <c r="F6" s="18">
        <v>678910</v>
      </c>
      <c r="G6" s="18">
        <v>123456</v>
      </c>
      <c r="H6" s="15" t="s">
        <v>703</v>
      </c>
      <c r="I6" s="15" t="s">
        <v>703</v>
      </c>
      <c r="J6" s="15" t="s">
        <v>660</v>
      </c>
      <c r="K6" s="15" t="s">
        <v>715</v>
      </c>
      <c r="L6" s="15" t="s">
        <v>651</v>
      </c>
      <c r="M6" s="15" t="s">
        <v>652</v>
      </c>
      <c r="N6" s="15" t="s">
        <v>652</v>
      </c>
      <c r="O6" s="15" t="s">
        <v>653</v>
      </c>
    </row>
    <row r="7" spans="1:15" x14ac:dyDescent="0.2">
      <c r="A7" s="15" t="s">
        <v>673</v>
      </c>
      <c r="B7" s="15" t="s">
        <v>678</v>
      </c>
      <c r="C7" s="16">
        <v>5003626</v>
      </c>
      <c r="D7" s="15" t="s">
        <v>687</v>
      </c>
      <c r="E7" s="15" t="s">
        <v>661</v>
      </c>
      <c r="F7" s="18" t="s">
        <v>693</v>
      </c>
      <c r="G7" s="18">
        <v>501009090</v>
      </c>
      <c r="H7" s="15" t="s">
        <v>713</v>
      </c>
      <c r="I7" s="15" t="s">
        <v>709</v>
      </c>
      <c r="J7" s="15" t="s">
        <v>661</v>
      </c>
      <c r="K7" s="15" t="s">
        <v>714</v>
      </c>
      <c r="L7" s="15" t="s">
        <v>651</v>
      </c>
      <c r="M7" s="15" t="s">
        <v>652</v>
      </c>
      <c r="N7" s="15" t="s">
        <v>652</v>
      </c>
      <c r="O7" s="15" t="s">
        <v>696</v>
      </c>
    </row>
    <row r="8" spans="1:15" x14ac:dyDescent="0.2">
      <c r="A8" s="15" t="s">
        <v>673</v>
      </c>
      <c r="B8" s="15" t="s">
        <v>678</v>
      </c>
      <c r="C8" s="16">
        <v>5003626</v>
      </c>
      <c r="D8" s="15" t="s">
        <v>687</v>
      </c>
      <c r="E8" s="15" t="s">
        <v>661</v>
      </c>
      <c r="F8" s="18">
        <v>501009090</v>
      </c>
      <c r="G8" s="18" t="s">
        <v>693</v>
      </c>
      <c r="H8" s="15" t="s">
        <v>713</v>
      </c>
      <c r="I8" s="15" t="s">
        <v>709</v>
      </c>
      <c r="J8" s="15" t="s">
        <v>661</v>
      </c>
      <c r="K8" s="15" t="s">
        <v>662</v>
      </c>
      <c r="L8" s="15" t="s">
        <v>651</v>
      </c>
      <c r="M8" s="15" t="s">
        <v>652</v>
      </c>
      <c r="N8" s="15" t="s">
        <v>652</v>
      </c>
      <c r="O8" s="15" t="s">
        <v>653</v>
      </c>
    </row>
    <row r="9" spans="1:15" x14ac:dyDescent="0.2">
      <c r="A9" s="15" t="s">
        <v>667</v>
      </c>
      <c r="B9" s="15" t="s">
        <v>679</v>
      </c>
      <c r="C9" s="16">
        <v>1014869</v>
      </c>
      <c r="D9" s="15" t="s">
        <v>688</v>
      </c>
      <c r="E9" s="15" t="s">
        <v>650</v>
      </c>
      <c r="F9" s="18" t="s">
        <v>694</v>
      </c>
      <c r="G9" s="18" t="s">
        <v>695</v>
      </c>
      <c r="H9" s="15" t="s">
        <v>704</v>
      </c>
      <c r="I9" s="15" t="s">
        <v>651</v>
      </c>
      <c r="J9" s="15" t="s">
        <v>650</v>
      </c>
      <c r="K9" s="15" t="s">
        <v>717</v>
      </c>
      <c r="L9" s="15" t="s">
        <v>651</v>
      </c>
      <c r="M9" s="15" t="s">
        <v>652</v>
      </c>
      <c r="N9" s="15" t="s">
        <v>652</v>
      </c>
      <c r="O9" s="15" t="s">
        <v>696</v>
      </c>
    </row>
    <row r="10" spans="1:15" x14ac:dyDescent="0.2">
      <c r="A10" s="15" t="s">
        <v>667</v>
      </c>
      <c r="B10" s="15" t="s">
        <v>679</v>
      </c>
      <c r="C10" s="16">
        <v>1014869</v>
      </c>
      <c r="D10" s="15" t="s">
        <v>688</v>
      </c>
      <c r="E10" s="15" t="s">
        <v>650</v>
      </c>
      <c r="F10" s="18" t="s">
        <v>695</v>
      </c>
      <c r="G10" s="18" t="s">
        <v>694</v>
      </c>
      <c r="H10" s="15" t="s">
        <v>704</v>
      </c>
      <c r="I10" s="15" t="s">
        <v>651</v>
      </c>
      <c r="J10" s="15" t="s">
        <v>650</v>
      </c>
      <c r="K10" s="15" t="s">
        <v>717</v>
      </c>
      <c r="L10" s="15" t="s">
        <v>651</v>
      </c>
      <c r="M10" s="15" t="s">
        <v>652</v>
      </c>
      <c r="N10" s="15" t="s">
        <v>652</v>
      </c>
      <c r="O10" s="15" t="s">
        <v>653</v>
      </c>
    </row>
    <row r="11" spans="1:15" x14ac:dyDescent="0.2">
      <c r="A11" s="15" t="s">
        <v>674</v>
      </c>
      <c r="B11" s="15" t="s">
        <v>680</v>
      </c>
      <c r="C11" s="15" t="s">
        <v>663</v>
      </c>
      <c r="D11" s="15" t="s">
        <v>689</v>
      </c>
      <c r="E11" s="15" t="s">
        <v>658</v>
      </c>
      <c r="F11" s="18" t="s">
        <v>697</v>
      </c>
      <c r="G11" s="18" t="s">
        <v>698</v>
      </c>
      <c r="H11" s="15" t="s">
        <v>705</v>
      </c>
      <c r="I11" s="15" t="s">
        <v>651</v>
      </c>
      <c r="J11" s="15" t="s">
        <v>658</v>
      </c>
      <c r="K11" s="15" t="s">
        <v>664</v>
      </c>
      <c r="L11" s="15" t="s">
        <v>651</v>
      </c>
      <c r="M11" s="15" t="s">
        <v>652</v>
      </c>
      <c r="N11" s="15" t="s">
        <v>652</v>
      </c>
      <c r="O11" s="15" t="s">
        <v>653</v>
      </c>
    </row>
    <row r="12" spans="1:15" x14ac:dyDescent="0.2">
      <c r="A12" s="15" t="s">
        <v>674</v>
      </c>
      <c r="B12" s="15" t="s">
        <v>680</v>
      </c>
      <c r="C12" s="15" t="s">
        <v>665</v>
      </c>
      <c r="D12" s="15" t="s">
        <v>690</v>
      </c>
      <c r="E12" s="15" t="s">
        <v>658</v>
      </c>
      <c r="F12" s="18" t="s">
        <v>699</v>
      </c>
      <c r="G12" s="18">
        <v>998988767</v>
      </c>
      <c r="H12" s="15" t="s">
        <v>706</v>
      </c>
      <c r="I12" s="15" t="s">
        <v>651</v>
      </c>
      <c r="J12" s="15" t="s">
        <v>658</v>
      </c>
      <c r="K12" s="15" t="s">
        <v>666</v>
      </c>
      <c r="L12" s="15" t="s">
        <v>651</v>
      </c>
      <c r="M12" s="15" t="s">
        <v>652</v>
      </c>
      <c r="N12" s="15" t="s">
        <v>652</v>
      </c>
      <c r="O12" s="15" t="s">
        <v>653</v>
      </c>
    </row>
    <row r="13" spans="1:15" x14ac:dyDescent="0.2">
      <c r="A13" s="15" t="s">
        <v>668</v>
      </c>
      <c r="B13" s="15" t="s">
        <v>681</v>
      </c>
      <c r="C13" s="16">
        <v>1423156</v>
      </c>
      <c r="D13" s="15" t="s">
        <v>691</v>
      </c>
      <c r="E13" s="15" t="s">
        <v>654</v>
      </c>
      <c r="F13" s="18" t="s">
        <v>700</v>
      </c>
      <c r="G13" s="18">
        <v>776635</v>
      </c>
      <c r="H13" s="15" t="s">
        <v>707</v>
      </c>
      <c r="I13" s="15" t="s">
        <v>651</v>
      </c>
      <c r="J13" s="15" t="s">
        <v>654</v>
      </c>
      <c r="K13" s="15" t="s">
        <v>655</v>
      </c>
      <c r="L13" s="15" t="s">
        <v>651</v>
      </c>
      <c r="M13" s="15" t="s">
        <v>652</v>
      </c>
      <c r="N13" s="15" t="s">
        <v>652</v>
      </c>
      <c r="O13" s="15" t="s">
        <v>653</v>
      </c>
    </row>
    <row r="14" spans="1:15" x14ac:dyDescent="0.2">
      <c r="A14" s="15" t="s">
        <v>669</v>
      </c>
      <c r="B14" s="15" t="s">
        <v>682</v>
      </c>
      <c r="C14" s="16">
        <v>1439599</v>
      </c>
      <c r="D14" s="15" t="s">
        <v>692</v>
      </c>
      <c r="E14" s="15" t="s">
        <v>654</v>
      </c>
      <c r="F14" s="18">
        <v>112332334</v>
      </c>
      <c r="G14" s="18">
        <v>98454536</v>
      </c>
      <c r="H14" s="15" t="s">
        <v>708</v>
      </c>
      <c r="I14" s="15" t="s">
        <v>651</v>
      </c>
      <c r="J14" s="15" t="s">
        <v>654</v>
      </c>
      <c r="K14" s="15" t="s">
        <v>656</v>
      </c>
      <c r="L14" s="15" t="s">
        <v>651</v>
      </c>
      <c r="M14" s="15" t="s">
        <v>652</v>
      </c>
      <c r="N14" s="15" t="s">
        <v>652</v>
      </c>
      <c r="O14" s="15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 DATA FINAL</vt:lpstr>
      <vt:lpstr>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Sivakumar S</cp:lastModifiedBy>
  <cp:revision>1</cp:revision>
  <dcterms:modified xsi:type="dcterms:W3CDTF">2023-06-26T10:18:33Z</dcterms:modified>
  <cp:category/>
</cp:coreProperties>
</file>